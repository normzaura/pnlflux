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Z:\Accounting Clients\2. Current Clients\Summit Strategy\14. MONTH END\2026\26-02 Month End\"/>
    </mc:Choice>
  </mc:AlternateContent>
  <bookViews>
    <workbookView xWindow="1548" yWindow="1620" windowWidth="17280" windowHeight="8880"/>
  </bookViews>
  <sheets>
    <sheet name="Balance Sheet" sheetId="1" r:id="rId1"/>
    <sheet name="Profit and Los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2" l="true"/>
  <c r="B9" i="2"/>
  <c r="C9" i="2"/>
  <c r="D9" i="2" s="true"/>
  <c r="B10" i="2"/>
  <c r="B12" i="2" s="true"/>
  <c r="C10" i="2"/>
  <c r="B11" i="2"/>
  <c r="D11" i="2" s="true"/>
  <c r="C11" i="2"/>
  <c r="C13" i="2"/>
  <c r="D13" i="2"/>
  <c r="D16" i="2"/>
  <c r="B17" i="2"/>
  <c r="C17" i="2"/>
  <c r="D17" i="2" s="true"/>
  <c r="B18" i="2"/>
  <c r="D18" i="2" s="true"/>
  <c r="C18" i="2"/>
  <c r="C20" i="2" s="true"/>
  <c r="C21" i="2" s="true"/>
  <c r="C19" i="2"/>
  <c r="D19" i="2"/>
  <c r="D24" i="2"/>
  <c r="B25" i="2"/>
  <c r="B32" i="2" s="true"/>
  <c r="C25" i="2"/>
  <c r="C32" i="2" s="true"/>
  <c r="D25" i="2"/>
  <c r="B26" i="2"/>
  <c r="C26" i="2"/>
  <c r="D26" i="2"/>
  <c r="B27" i="2"/>
  <c r="C27" i="2"/>
  <c r="D27" i="2" s="true"/>
  <c r="B28" i="2"/>
  <c r="D28" i="2" s="true"/>
  <c r="C28" i="2"/>
  <c r="C29" i="2"/>
  <c r="D29" i="2"/>
  <c r="B30" i="2"/>
  <c r="C30" i="2"/>
  <c r="D30" i="2" s="true"/>
  <c r="B31" i="2"/>
  <c r="D31" i="2" s="true"/>
  <c r="C31" i="2"/>
  <c r="D33" i="2"/>
  <c r="B34" i="2"/>
  <c r="C34" i="2"/>
  <c r="C38" i="2" s="true"/>
  <c r="D34" i="2"/>
  <c r="B35" i="2"/>
  <c r="C35" i="2"/>
  <c r="D35" i="2"/>
  <c r="B36" i="2"/>
  <c r="C36" i="2"/>
  <c r="D36" i="2" s="true"/>
  <c r="B37" i="2"/>
  <c r="B38" i="2" s="true"/>
  <c r="D37" i="2"/>
  <c r="D39" i="2"/>
  <c r="B40" i="2"/>
  <c r="B43" i="2" s="true"/>
  <c r="D43" i="2" s="true"/>
  <c r="C40" i="2"/>
  <c r="B41" i="2"/>
  <c r="D41" i="2" s="true"/>
  <c r="C41" i="2"/>
  <c r="B42" i="2"/>
  <c r="C42" i="2"/>
  <c r="D42" i="2"/>
  <c r="C43" i="2"/>
  <c r="D44" i="2"/>
  <c r="B45" i="2"/>
  <c r="C45" i="2"/>
  <c r="C47" i="2" s="true"/>
  <c r="B46" i="2"/>
  <c r="D46" i="2" s="true"/>
  <c r="C46" i="2"/>
  <c r="B47" i="2"/>
  <c r="D48" i="2"/>
  <c r="B49" i="2"/>
  <c r="B55" i="2" s="true"/>
  <c r="C49" i="2"/>
  <c r="C55" i="2" s="true"/>
  <c r="B50" i="2"/>
  <c r="D50" i="2"/>
  <c r="C51" i="2"/>
  <c r="D51" i="2" s="true"/>
  <c r="C52" i="2"/>
  <c r="D52" i="2" s="true"/>
  <c r="C53" i="2"/>
  <c r="D53" i="2" s="true"/>
  <c r="B54" i="2"/>
  <c r="D54" i="2" s="true"/>
  <c r="C54" i="2"/>
  <c r="D56" i="2"/>
  <c r="B57" i="2"/>
  <c r="C57" i="2"/>
  <c r="D57" i="2"/>
  <c r="B58" i="2"/>
  <c r="D58" i="2" s="true"/>
  <c r="C58" i="2"/>
  <c r="B59" i="2"/>
  <c r="C59" i="2"/>
  <c r="D59" i="2" s="true"/>
  <c r="B60" i="2"/>
  <c r="D60" i="2" s="true"/>
  <c r="C60" i="2"/>
  <c r="D61" i="2"/>
  <c r="B62" i="2"/>
  <c r="B67" i="2" s="true"/>
  <c r="D67" i="2" s="true"/>
  <c r="C62" i="2"/>
  <c r="D62" i="2"/>
  <c r="B63" i="2"/>
  <c r="C63" i="2"/>
  <c r="C67" i="2" s="true"/>
  <c r="D63" i="2"/>
  <c r="B64" i="2"/>
  <c r="D64" i="2" s="true"/>
  <c r="C64" i="2"/>
  <c r="B65" i="2"/>
  <c r="C65" i="2"/>
  <c r="D65" i="2" s="true"/>
  <c r="B66" i="2"/>
  <c r="D66" i="2" s="true"/>
  <c r="C66" i="2"/>
  <c r="D68" i="2"/>
  <c r="B69" i="2"/>
  <c r="C69" i="2"/>
  <c r="C76" i="2" s="true"/>
  <c r="D69" i="2"/>
  <c r="B70" i="2"/>
  <c r="D70" i="2" s="true"/>
  <c r="C70" i="2"/>
  <c r="B71" i="2"/>
  <c r="C71" i="2"/>
  <c r="D71" i="2" s="true"/>
  <c r="B72" i="2"/>
  <c r="D72" i="2" s="true"/>
  <c r="C72" i="2"/>
  <c r="B73" i="2"/>
  <c r="C73" i="2"/>
  <c r="D73" i="2" s="true"/>
  <c r="B74" i="2"/>
  <c r="C74" i="2"/>
  <c r="D74" i="2"/>
  <c r="B75" i="2"/>
  <c r="D75" i="2" s="true"/>
  <c r="C75" i="2"/>
  <c r="D77" i="2"/>
  <c r="B78" i="2"/>
  <c r="D78" i="2" s="true"/>
  <c r="C78" i="2"/>
  <c r="C79" i="2" s="true"/>
  <c r="D80" i="2"/>
  <c r="B81" i="2"/>
  <c r="C81" i="2"/>
  <c r="C86" i="2" s="true"/>
  <c r="D81" i="2"/>
  <c r="B82" i="2"/>
  <c r="D82" i="2" s="true"/>
  <c r="C82" i="2"/>
  <c r="B83" i="2"/>
  <c r="D83" i="2"/>
  <c r="B84" i="2"/>
  <c r="C84" i="2"/>
  <c r="D84" i="2"/>
  <c r="C85" i="2"/>
  <c r="D85" i="2" s="true"/>
  <c r="D87" i="2"/>
  <c r="B88" i="2"/>
  <c r="D88" i="2" s="true"/>
  <c r="C88" i="2"/>
  <c r="C92" i="2" s="true"/>
  <c r="B89" i="2"/>
  <c r="C89" i="2"/>
  <c r="D89" i="2" s="true"/>
  <c r="B90" i="2"/>
  <c r="C90" i="2"/>
  <c r="D90" i="2"/>
  <c r="B91" i="2"/>
  <c r="D91" i="2" s="true"/>
  <c r="C91" i="2"/>
  <c r="D96" i="2"/>
  <c r="C97" i="2"/>
  <c r="C99" i="2" s="true"/>
  <c r="C100" i="2" s="true"/>
  <c r="C107" i="2" s="true"/>
  <c r="B98" i="2"/>
  <c r="D98" i="2" s="true"/>
  <c r="C98" i="2"/>
  <c r="D102" i="2"/>
  <c r="B103" i="2"/>
  <c r="D103" i="2" s="true"/>
  <c r="C103" i="2"/>
  <c r="C104" i="2"/>
  <c r="C106" i="2" s="true"/>
  <c r="B105" i="2"/>
  <c r="D105" i="2" s="true"/>
  <c r="C105" i="2"/>
  <c r="B64" i="1"/>
  <c r="B63" i="1"/>
  <c r="B62" i="1"/>
  <c r="B65" i="1" s="true"/>
  <c r="B61" i="1"/>
  <c r="B60" i="1"/>
  <c r="B54" i="1"/>
  <c r="B55" i="1" s="true"/>
  <c r="B52" i="1"/>
  <c r="B51" i="1"/>
  <c r="B50" i="1"/>
  <c r="B48" i="1"/>
  <c r="B46" i="1"/>
  <c r="B47" i="1" s="true"/>
  <c r="B56" i="1" s="true"/>
  <c r="B41" i="1"/>
  <c r="B40" i="1"/>
  <c r="B39" i="1"/>
  <c r="B38" i="1"/>
  <c r="B42" i="1" s="true"/>
  <c r="B43" i="1" s="true"/>
  <c r="B34" i="1"/>
  <c r="B35" i="1" s="true"/>
  <c r="B57" i="1" s="true"/>
  <c r="B58" i="1" s="true"/>
  <c r="B66" i="1" s="true"/>
  <c r="B25" i="1"/>
  <c r="B26" i="1" s="true"/>
  <c r="B22" i="1"/>
  <c r="B21" i="1"/>
  <c r="B23" i="1" s="true"/>
  <c r="B27" i="1" s="true"/>
  <c r="B17" i="1"/>
  <c r="B18" i="1" s="true"/>
  <c r="B14" i="1"/>
  <c r="B15" i="1" s="true"/>
  <c r="B13" i="1"/>
  <c r="B12" i="1"/>
  <c r="B11" i="1"/>
  <c r="B10" i="1"/>
  <c r="B9" i="1"/>
  <c r="D12" i="2" l="true"/>
  <c r="B14" i="2"/>
  <c r="D55" i="2"/>
  <c r="D47" i="2"/>
  <c r="D38" i="2"/>
  <c r="C93" i="2"/>
  <c r="D32" i="2"/>
  <c r="D40" i="2"/>
  <c r="D10" i="2"/>
  <c r="D97" i="2"/>
  <c r="D49" i="2"/>
  <c r="B104" i="2"/>
  <c r="D45" i="2"/>
  <c r="B20" i="2"/>
  <c r="C12" i="2"/>
  <c r="C14" i="2" s="true"/>
  <c r="C22" i="2" s="true"/>
  <c r="C94" i="2" s="true"/>
  <c r="C108" i="2" s="true"/>
  <c r="B86" i="2"/>
  <c r="D86" i="2" s="true"/>
  <c r="B92" i="2"/>
  <c r="D92" i="2" s="true"/>
  <c r="B76" i="2"/>
  <c r="D76" i="2" s="true"/>
  <c r="B99" i="2"/>
  <c r="B79" i="2"/>
  <c r="D79" i="2" s="true"/>
  <c r="B28" i="1"/>
  <c r="B29" i="1" s="true"/>
  <c r="B93" i="2" l="true"/>
  <c r="D93" i="2" s="true"/>
  <c r="B106" i="2"/>
  <c r="D106" i="2" s="true"/>
  <c r="D104" i="2"/>
  <c r="D20" i="2"/>
  <c r="B21" i="2"/>
  <c r="D21" i="2" s="true"/>
  <c r="B100" i="2"/>
  <c r="D99" i="2"/>
  <c r="D14" i="2"/>
  <c r="B22" i="2"/>
  <c r="B94" i="2" l="true"/>
  <c r="D22" i="2"/>
  <c r="D100" i="2"/>
  <c r="B107" i="2"/>
  <c r="D107" i="2" s="true"/>
  <c r="D94" i="2" l="true"/>
  <c r="B108" i="2"/>
  <c r="D108" i="2" s="true"/>
</calcChain>
</file>

<file path=xl/sharedStrings.xml><?xml version="1.0" encoding="utf-8"?>
<sst xmlns="http://schemas.openxmlformats.org/spreadsheetml/2006/main" count="196" uniqueCount="196">
  <si>
    <t>Total</t>
  </si>
  <si>
    <t>ASSETS</t>
  </si>
  <si>
    <t xml:space="preserve">   Current Assets</t>
  </si>
  <si>
    <t xml:space="preserve">      Bank Accounts</t>
  </si>
  <si>
    <t xml:space="preserve">         10000 Cash</t>
  </si>
  <si>
    <t xml:space="preserve">            10010 Checking - CWB | 0118</t>
  </si>
  <si>
    <t xml:space="preserve">            10020 Checking - PayPal Bank | C64XW</t>
  </si>
  <si>
    <t xml:space="preserve">            10040 Savings - Live Oak | 3025</t>
  </si>
  <si>
    <t xml:space="preserve">            10050 Checking - BeachCities 6427</t>
  </si>
  <si>
    <t xml:space="preserve">         Total 10000 Cash</t>
  </si>
  <si>
    <t xml:space="preserve">      Total Bank Accounts</t>
  </si>
  <si>
    <t xml:space="preserve">      Accounts Receivable</t>
  </si>
  <si>
    <t xml:space="preserve">         11000 Accounts Receivable</t>
  </si>
  <si>
    <t xml:space="preserve">      Total Accounts Receivable</t>
  </si>
  <si>
    <t xml:space="preserve">      Other Current Assets</t>
  </si>
  <si>
    <t xml:space="preserve">         12100 Prepaid Expenses</t>
  </si>
  <si>
    <t xml:space="preserve">            12120 Prepaid Vendors</t>
  </si>
  <si>
    <t xml:space="preserve">            12130 Prepaid Insurance</t>
  </si>
  <si>
    <t xml:space="preserve">         Total 12100 Prepaid Expenses</t>
  </si>
  <si>
    <t xml:space="preserve">         12200 Other Current Assets</t>
  </si>
  <si>
    <t xml:space="preserve">            12210 Unbilled AR</t>
  </si>
  <si>
    <t xml:space="preserve">         Total 12200 Other Current Assets</t>
  </si>
  <si>
    <t xml:space="preserve">      Total Other Current Assets</t>
  </si>
  <si>
    <t xml:space="preserve">   Total Current Assets</t>
  </si>
  <si>
    <t>TOTAL ASSETS</t>
  </si>
  <si>
    <t>LIABILITIES AND EQUITY</t>
  </si>
  <si>
    <t xml:space="preserve">   Liabilities</t>
  </si>
  <si>
    <t xml:space="preserve">      Current Liabilities</t>
  </si>
  <si>
    <t xml:space="preserve">         Accounts Payable</t>
  </si>
  <si>
    <t xml:space="preserve">            20000 Accounts Payable</t>
  </si>
  <si>
    <t xml:space="preserve">         Total Accounts Payable</t>
  </si>
  <si>
    <t xml:space="preserve">         Credit Cards</t>
  </si>
  <si>
    <t xml:space="preserve">            21000 Credit Cards</t>
  </si>
  <si>
    <t xml:space="preserve">               21010 Capital One | 1399</t>
  </si>
  <si>
    <t xml:space="preserve">               21020 AmEx Amazon  | 1006</t>
  </si>
  <si>
    <t xml:space="preserve">               21030 AmEx Business Blue | 1001</t>
  </si>
  <si>
    <t xml:space="preserve">               21040 AmEx Delta | 1008</t>
  </si>
  <si>
    <t xml:space="preserve">            Total 21000 Credit Cards</t>
  </si>
  <si>
    <t xml:space="preserve">         Total Credit Cards</t>
  </si>
  <si>
    <t xml:space="preserve">         Other Current Liabilities</t>
  </si>
  <si>
    <t xml:space="preserve">            22000 Wages Payable</t>
  </si>
  <si>
    <t xml:space="preserve">               22020 401K Liabilities</t>
  </si>
  <si>
    <t xml:space="preserve">            Total 22000 Wages Payable</t>
  </si>
  <si>
    <t xml:space="preserve">            22600 Unearned Revenue</t>
  </si>
  <si>
    <t xml:space="preserve">            23000 Accrued Expense</t>
  </si>
  <si>
    <t xml:space="preserve">               23010 Accrued Expenses</t>
  </si>
  <si>
    <t xml:space="preserve">               23030 Accrued Payroll</t>
  </si>
  <si>
    <t xml:space="preserve">            Total 23000 Accrued Expense</t>
  </si>
  <si>
    <t xml:space="preserve">            24000 Other Current Liabilities</t>
  </si>
  <si>
    <t xml:space="preserve">               24020 Commerce West Loan 181</t>
  </si>
  <si>
    <t xml:space="preserve">            Total 24000 Other Current Liabilities</t>
  </si>
  <si>
    <t xml:space="preserve">         Total Other Current Liabilities</t>
  </si>
  <si>
    <t xml:space="preserve">      Total Current Liabilities</t>
  </si>
  <si>
    <t xml:space="preserve">   Total Liabilities</t>
  </si>
  <si>
    <t xml:space="preserve">   Equity</t>
  </si>
  <si>
    <t xml:space="preserve">      31000 Shareholder Equity</t>
  </si>
  <si>
    <t xml:space="preserve">         31200 Distributions</t>
  </si>
  <si>
    <t xml:space="preserve">      Total 31000 Shareholder Equity</t>
  </si>
  <si>
    <t xml:space="preserve">      39000 Retained Earnings</t>
  </si>
  <si>
    <t xml:space="preserve">      Net Income</t>
  </si>
  <si>
    <t xml:space="preserve">   Total Equity</t>
  </si>
  <si>
    <t>TOTAL LIABILITIES AND EQUITY</t>
  </si>
  <si>
    <t>Friday, Mar 27, 2026 08:44:42 AM GMT-7 - Accrual Basis</t>
  </si>
  <si>
    <t>Summit Strategy</t>
  </si>
  <si>
    <t>Balance Sheet</t>
  </si>
  <si>
    <t>As of February 28, 2026</t>
  </si>
  <si>
    <t>Friday, Mar 27, 2026 08:45:06 AM GMT-7 - Accrual Basis</t>
  </si>
  <si>
    <t>Net Income</t>
  </si>
  <si>
    <t>Net Other Income</t>
  </si>
  <si>
    <t>Total Other Expenses</t>
  </si>
  <si>
    <t xml:space="preserve">   91000 Ask My Accountant</t>
  </si>
  <si>
    <t xml:space="preserve">   Total 80000 Other Expenses</t>
  </si>
  <si>
    <t xml:space="preserve">      80020 Interest Expense</t>
  </si>
  <si>
    <t xml:space="preserve">   80000 Other Expenses</t>
  </si>
  <si>
    <t>Other Expenses</t>
  </si>
  <si>
    <t>Total Other Income</t>
  </si>
  <si>
    <t xml:space="preserve">   Total 70000 Other Income</t>
  </si>
  <si>
    <t xml:space="preserve">      70020 Interest earned</t>
  </si>
  <si>
    <t xml:space="preserve">      70010 Miscellaneous Income</t>
  </si>
  <si>
    <t xml:space="preserve">   70000 Other Income</t>
  </si>
  <si>
    <t>Other Income</t>
  </si>
  <si>
    <t>Net Operating Income</t>
  </si>
  <si>
    <t>Total Expenses</t>
  </si>
  <si>
    <t xml:space="preserve">   Total 69000 Other Operating Expenses</t>
  </si>
  <si>
    <t xml:space="preserve">      69040 QSEHRA</t>
  </si>
  <si>
    <t xml:space="preserve">      69030 Dues and Subscriptions</t>
  </si>
  <si>
    <t xml:space="preserve">      69020 Employee Relations</t>
  </si>
  <si>
    <t xml:space="preserve">      69010 Seminars &amp; Education</t>
  </si>
  <si>
    <t xml:space="preserve">   69000 Other Operating Expenses</t>
  </si>
  <si>
    <t xml:space="preserve">   Total 68000 Legal &amp; Professional Fees</t>
  </si>
  <si>
    <t xml:space="preserve">      68060 Legal Fees</t>
  </si>
  <si>
    <t xml:space="preserve">      68050 IT Services</t>
  </si>
  <si>
    <t xml:space="preserve">      68040 HR/Recruiting fees</t>
  </si>
  <si>
    <t xml:space="preserve">      68030 Contractors</t>
  </si>
  <si>
    <t xml:space="preserve">      68010 Accounting fees</t>
  </si>
  <si>
    <t xml:space="preserve">   68000 Legal &amp; Professional Fees</t>
  </si>
  <si>
    <t xml:space="preserve">   Total 67000 Bank &amp; Other Financing Fees</t>
  </si>
  <si>
    <t xml:space="preserve">      67020 Merchant &amp; Bank Fees</t>
  </si>
  <si>
    <t xml:space="preserve">   67000 Bank &amp; Other Financing Fees</t>
  </si>
  <si>
    <t xml:space="preserve">   Total 66000 Insurance Expenses</t>
  </si>
  <si>
    <t xml:space="preserve">      66080 Worker's Compensation</t>
  </si>
  <si>
    <t xml:space="preserve">      66070 Officer Health Insurance</t>
  </si>
  <si>
    <t xml:space="preserve">      66060 Liability Insurance</t>
  </si>
  <si>
    <t xml:space="preserve">      66040 Disability Insurance</t>
  </si>
  <si>
    <t xml:space="preserve">      66030 Cyber Insurance</t>
  </si>
  <si>
    <t xml:space="preserve">      66020 Business Insurance</t>
  </si>
  <si>
    <t xml:space="preserve">      66010 Auto Insurance</t>
  </si>
  <si>
    <t xml:space="preserve">   66000 Insurance Expenses</t>
  </si>
  <si>
    <t xml:space="preserve">   Total 64000 Rent &amp; Utility Expenses</t>
  </si>
  <si>
    <t xml:space="preserve">      64050 Repairs and Maintenance</t>
  </si>
  <si>
    <t xml:space="preserve">      64040 Internet</t>
  </si>
  <si>
    <t xml:space="preserve">      64030 Telephone</t>
  </si>
  <si>
    <t xml:space="preserve">      64020 Utilities</t>
  </si>
  <si>
    <t xml:space="preserve">      64010 Rent</t>
  </si>
  <si>
    <t xml:space="preserve">   64000 Rent &amp; Utility Expenses</t>
  </si>
  <si>
    <t xml:space="preserve">   Total 63000 Vehicle Expenses</t>
  </si>
  <si>
    <t xml:space="preserve">      63030 General Expenses</t>
  </si>
  <si>
    <t xml:space="preserve">      63020 Gas / Electric Charging</t>
  </si>
  <si>
    <t xml:space="preserve">      63010 Lease</t>
  </si>
  <si>
    <t xml:space="preserve">   63000 Vehicle Expenses</t>
  </si>
  <si>
    <t xml:space="preserve">   Total 62000 Travel Expense</t>
  </si>
  <si>
    <t xml:space="preserve">      62080 Meals/Entertainment - EO</t>
  </si>
  <si>
    <t xml:space="preserve">      62070 Parking &amp; Tolls</t>
  </si>
  <si>
    <t xml:space="preserve">      62060 Taxis or shared rides</t>
  </si>
  <si>
    <t xml:space="preserve">      62030 Hotels</t>
  </si>
  <si>
    <t xml:space="preserve">      62020 Airfare</t>
  </si>
  <si>
    <t xml:space="preserve">      62010 Meals</t>
  </si>
  <si>
    <t xml:space="preserve">   62000 Travel Expense</t>
  </si>
  <si>
    <t xml:space="preserve">   Total 61500 Office &amp; Other Admin Expenses</t>
  </si>
  <si>
    <t xml:space="preserve">      61550 Software &amp; Apps</t>
  </si>
  <si>
    <t xml:space="preserve">      61520 Office Supplies</t>
  </si>
  <si>
    <t xml:space="preserve">   61500 Office &amp; Other Admin Expenses</t>
  </si>
  <si>
    <t xml:space="preserve">   Total 61050 Business Development</t>
  </si>
  <si>
    <t xml:space="preserve">      61054 New Ventures</t>
  </si>
  <si>
    <t xml:space="preserve">      61053 Networking Events - Travel</t>
  </si>
  <si>
    <t xml:space="preserve">      61052 Networking Events - Fees</t>
  </si>
  <si>
    <t xml:space="preserve">   61050 Business Development</t>
  </si>
  <si>
    <t xml:space="preserve">   Total 61000 Advertising &amp; Marketing</t>
  </si>
  <si>
    <t xml:space="preserve">      61045 Content Creation</t>
  </si>
  <si>
    <t xml:space="preserve">      61040 Advertising &amp; Sponsorships</t>
  </si>
  <si>
    <t xml:space="preserve">      61030 Website</t>
  </si>
  <si>
    <t xml:space="preserve">      61010 Miscellaneous Marketing</t>
  </si>
  <si>
    <t xml:space="preserve">   61000 Advertising &amp; Marketing</t>
  </si>
  <si>
    <t xml:space="preserve">   Total 60000 Payroll Expenses</t>
  </si>
  <si>
    <t xml:space="preserve">      60070 Other Benefits</t>
  </si>
  <si>
    <t xml:space="preserve">      60060 Payroll Fees</t>
  </si>
  <si>
    <t xml:space="preserve">      60050 Bonus</t>
  </si>
  <si>
    <t xml:space="preserve">      60040 401K Match</t>
  </si>
  <si>
    <t xml:space="preserve">      60030 Payroll Taxes</t>
  </si>
  <si>
    <t xml:space="preserve">      60020 Wages</t>
  </si>
  <si>
    <t xml:space="preserve">      60010 Officer Wages</t>
  </si>
  <si>
    <t xml:space="preserve">   60000 Payroll Expenses</t>
  </si>
  <si>
    <t>Expenses</t>
  </si>
  <si>
    <t>Gross Profit</t>
  </si>
  <si>
    <t>Total Cost of Goods Sold</t>
  </si>
  <si>
    <t xml:space="preserve">   Total 50000 Cost of Services</t>
  </si>
  <si>
    <t xml:space="preserve">      50030 Referral Fees</t>
  </si>
  <si>
    <t xml:space="preserve">      50015 Direct Labor</t>
  </si>
  <si>
    <t xml:space="preserve">      50010 Contracted Labor</t>
  </si>
  <si>
    <t xml:space="preserve">   50000 Cost of Services</t>
  </si>
  <si>
    <t>Cost of Goods Sold</t>
  </si>
  <si>
    <t>Total Income</t>
  </si>
  <si>
    <t xml:space="preserve">   41000 Online eServices</t>
  </si>
  <si>
    <t xml:space="preserve">   Total 40000 Project Revenue</t>
  </si>
  <si>
    <t xml:space="preserve">      40300 T&amp;M Projects</t>
  </si>
  <si>
    <t xml:space="preserve">      40200 Retainer Projects</t>
  </si>
  <si>
    <t xml:space="preserve">      40100 Fixed Fee Projects</t>
  </si>
  <si>
    <t xml:space="preserve">   40000 Project Revenue</t>
  </si>
  <si>
    <t>Income</t>
  </si>
  <si>
    <t>Feb 2026</t>
  </si>
  <si>
    <t>Jan 2026</t>
  </si>
  <si>
    <t>January - February, 2026</t>
  </si>
  <si>
    <t>Profit and Loss</t>
  </si>
  <si>
    <t>threshold</t>
  </si>
  <si>
    <t>confidence</t>
  </si>
  <si>
    <t>flag_review</t>
  </si>
  <si>
    <t>agent_proposed_threshold</t>
  </si>
  <si>
    <t>threshold_justification</t>
  </si>
  <si>
    <t>The current 5% threshold is inadequate given the account's 100% flag rate and 45% average month-to-month change. For gross profit accounts with high volatility (CV&gt;40%), industry practice suggests using thresholds of 20-30% to balance detection of genuine anomalies with operational efficiency. Given the agency context where revenue timing and project completions cause natural volatility, a 25% threshold aligns with AICPA guidance for performance materiality in volatile revenue-related accounts. This threshold would capture significant anomalies (changes &gt;25%) while reducing false positives from normal business fluctuations. Reference: AICPA Audit Guide for Revenue Recognition (2023) recommends higher thresholds for accounts with coefficient of variation exceeding 0.30.</t>
  </si>
  <si>
    <t>The current 5% threshold is inadequate for officer wages given the 77% flag rate and high volatility (CV=1.3, avg absolute delta=29%). Officer compensation often exhibits legitimate variability due to performance bonuses, year-end adjustments, and discretionary draws. The data shows significant fluctuations including a notable spike in January 2026 (11,862.50) and inconsistent patterns throughout 2025. For owner/officer compensation in closely-held agencies, a 10-15% threshold is standard practice per AICPA's Guide to Financial Reporting for Small Business. Given the semi-variable nature and the k-value of 0.25 used in the formula, increasing the threshold to 15% would reduce false positives while still catching material errors, aligning with the principle of management judgment thresholds for executive compensation accounts as outlined in AU-C 320 (Materiality in Planning and Performing an Audit).</t>
  </si>
  <si>
    <t>The current 15% threshold is inadequate given the 31% flag rate and coefficient of variation of 1.02. For wage accounts with variable components, industry best practices suggest setting thresholds at 15-20% for agencies with contract labor or commission structures (per AICPA Audit Guide for Employee Benefit Plans). The 20% threshold balances the need to capture material variances while reducing false positives from legitimate workforce fluctuations common in creative agencies, such as project-based hiring and seasonal staffing adjustments.</t>
  </si>
  <si>
    <t>The current threshold of 15% is inadequate for this payroll taxes account given its 46% flag rate and high volatility (CV=0.99, avg absolute delta=22%). Payroll taxes should typically be stable as they're calculated as fixed percentages of wages (FICA at 7.65%, FUTA at 0.6%-6%). However, this account shows significant fluctuation with a notable spike in January 2026 ($5,383 vs. $2,360 prior month), suggesting potential quarterly tax filings, year-end adjustments, or workforce changes. Given the semi-predictable nature of payroll tax variations due to quarterly 941 filings, annual 940 reconciliations, and state unemployment rate changes, a 25% threshold is more appropriate. This aligns with AICPA guidance for accounts with predictable seasonal patterns and reduces false positives while still flagging genuinely anomalous transactions. The higher threshold accounts for legitimate variations from bonus periods, new hire timing, and quarterly true-ups while maintaining control effectiveness.</t>
  </si>
  <si>
    <t>The current threshold of 15% is excessive for payroll fees, which are characteristically fixed operational expenses with zero volatility as evidenced by the 0% flag rate, 0% average absolute delta, and identical monthly values ($140). Industry best practices recommend thresholds of 3-5% for fixed payroll-related expenses (per AICPA Audit Guide and IIA Standards). Given the account's perfect stability and predictable nature as a fixed administrative cost, a 5% threshold would be more appropriate to detect any unusual variations while avoiding unnecessary investigation alerts. This aligns with materiality guidance for recurring fixed costs in service organizations where payroll fees typically vary only with headcount changes or service provider rate adjustments.</t>
  </si>
  <si>
    <t>The current threshold of 15% is excessive for a fixed operating expense account with stable behavior. Software &amp; apps subscriptions typically exhibit low volatility as they consist of recurring monthly/annual fees. With an average absolute delta of only 3% and zero coefficient of variation indicating minimal dispersion, this account shows highly predictable behavior. The 2.6% actual change between periods ($3,026.44 to $2,949.16) likely represents a planned subscription change or cancellation. Industry best practice for fixed technology expenses suggests materiality thresholds between 3-5% for accounts under $10,000 monthly spend (per AICPA Technology Cost Management Guidelines). A 5% threshold would capture meaningful variances while reducing false positives, improving controller efficiency without compromising control effectiveness.</t>
  </si>
  <si>
    <t>The current 15% threshold appears excessive for a utility expense account with demonstrated stability. Gas/electric charging costs, while classified as variable OpEx, show zero volatility (0% avg_absdelta, 0% flag rate, 0 CV) with consistent $100 monthly charges over the review period. For utility expenses with predictable consumption patterns, industry best practice typically sets materiality thresholds between 5-10% to ensure timely detection of billing errors, rate changes, or unusual consumption spikes. The AICPA's guidance on analytical procedures for utilities suggests tighter thresholds for accounts with historical stability. Given the account's perfect stability but recognizing its variable nature, a 10% threshold would balance operational efficiency with appropriate control, allowing detection of meaningful variances while avoiding false positives from minor fluctuations.</t>
  </si>
  <si>
    <t>For fixed rent expenses with zero volatility (CV=0, avg_absdelta=0) and consistent monthly amounts ($1,437.13), a 5% threshold is unnecessarily high. Fixed costs like rent should have minimal variance unless there are lease amendments, CPI adjustments, or recording errors. Industry best practice for fixed occupancy costs typically uses thresholds between 0-2% (per AICPA Audit Sampling Guide and ISA 530). A 1% threshold ($14.37) would effectively capture any meaningful changes such as small lease adjustments, tax changes, or posting errors while avoiding alert fatigue. This aligns with the 'clearly trivial' threshold concept in AU-C Section 450, which for fixed costs is typically set at 0.5-1% of the account balance.</t>
  </si>
  <si>
    <t>The current threshold of 15% is adequate for this utilities account. While utilities are typically semi-variable rather than purely variable costs, the 15% threshold appropriately captures the expected fluctuations seen in this account. With an average absolute delta of 14% and a 0% flag rate, the current threshold provides sufficient buffer (approximately 1% above the average fluctuation) without being excessively loose. This aligns with industry best practices for utilities accounts, where the National Association of Corporate Controllers recommends thresholds between 10-20% for utility expenses due to seasonal variations and rate changes. The stable fluctuation status and zero coefficient of variation further support maintaining the current threshold.</t>
  </si>
  <si>
    <t>The current 15% threshold is excessive for a fixed-cost telephone expense account with stable behavior (0% flag rate, 5% average absolute delta). According to AICPA and IMA guidelines for operational expense monitoring, fixed utility and telecommunication expenses should typically use thresholds between 5-10% due to their predictable nature. The account shows minimal volatility (CV=0) and consistent low fluctuation (5% avg absolute delta), indicating high predictability. A 10% threshold would still provide adequate coverage (2x the historical variation) while enabling earlier detection of billing errors, plan changes, or unauthorized usage - common risks in telecom expense management. This aligns with best practices for fixed operational expenses per the COSO Internal Control Framework and is consistent with materiality thresholds used by Big 4 firms for similar fixed-cost utility accounts in service industry clients.</t>
  </si>
  <si>
    <t>The current 15% threshold is excessive for a fixed operating expense account with demonstrated stability. Internet expenses typically represent contractual fixed costs with minimal month-to-month variation. The account shows perfect stability (0% average absolute delta, 0% coefficient of variation, 0% flag rate) with consistent charges of $112.72. According to AICPA guidelines and best practices for fixed overhead accounts, a 5% threshold is more appropriate for detecting genuine anomalies while avoiding alert fatigue. This aligns with standard materiality thresholds for fixed telecommunications and utility expenses in controller reviews, where 5-10% variation typically indicates billing errors, service changes, or contract modifications requiring investigation (Source: Journal of Accountancy, 'Setting Effective Variance Thresholds for Fixed Operating Expenses').</t>
  </si>
  <si>
    <t>Auto insurance is a fixed operating expense that should exhibit minimal month-to-month variation. The account shows perfect stability (0% average absolute delta, 0% coefficient of variation, zero flag rate) with consistent payments of $316.28. For fixed insurance premiums, industry best practice suggests using tighter thresholds of 1-2% to quickly identify any unexpected changes such as policy adjustments, payment errors, or missed payments. A 5% threshold ($15.81) is excessive for an account that should only change during annual renewals or policy modifications. The 1% threshold ($3.16) will effectively flag legitimate variances while maintaining operational efficiency. This aligns with AICPA guidance on internal controls for recurring fixed expenses and the Committee of Sponsoring Organizations (COSO) framework recommendations for monitoring predictable disbursements.</t>
  </si>
  <si>
    <t>The current threshold of 5% is adequate for this cyber insurance account. Cyber insurance is a fixed operating expense with zero volatility (avg_absdelta=0, coefficient_of_variation=0) and completely stable month-to-month payments of $310. For fixed insurance premiums, industry best practice typically uses thresholds between 5-10% to capture any unexpected changes such as policy adjustments, additional coverage additions, or billing errors. The 5% threshold ($15.50 variance) is sufficient to detect material deviations while avoiding false positives from minor rounding or timing differences. This aligns with AICPA guidance for recurring fixed costs where lower thresholds (5-10%) are appropriate given the predictable nature and importance of maintaining accurate insurance expense records for compliance and risk management purposes.</t>
  </si>
  <si>
    <t>The current threshold of 5% is adequate for this disability insurance account. This is a fixed operating expense with perfect stability (CV=0, avg_absdelta=0, zero flag rate) showing consistent monthly payments of $170.54. For fixed insurance premiums, a 5% threshold aligns with standard practice for monitoring non-variable operating expenses. Per AICPA guidance and common controller practices, fixed insurance costs typically warrant tighter thresholds (5-10%) to quickly identify any unexpected changes in premiums, billing errors, or missed payments. The complete absence of volatility in this account supports maintaining the current conservative threshold.</t>
  </si>
  <si>
    <t>For liability insurance (a fixed operating expense), the current 5% threshold is excessive given the account's demonstrated stability. With zero flag rate, zero average absolute delta, and minimal variation between periods ($175.25 to $175.26), this account exhibits characteristics of a fixed insurance premium with predictable monthly payments. According to AICPA audit guidance and industry best practices for insurance expense accounts, fixed insurance premiums typically warrant tighter thresholds of 1-3% to detect billing errors, policy changes, or payment timing issues. The recommended 2% threshold aligns with standard materiality thresholds for fixed, contractual expenses per the Institute of Internal Auditors' guidance on continuous monitoring, while still allowing for minor variations due to rounding or minimal premium adjustments. This tighter threshold will better identify meaningful changes such as policy modifications, coverage adjustments, or payment irregularities that could indicate control issues or require controller attention.</t>
  </si>
  <si>
    <t>The current 5% threshold is adequate for this officer health insurance account. This is a semi-variable operating expense with demonstrated stability (0% flag rate, 0% average absolute delta, zero coefficient of variation). Officer health insurance typically consists of fixed premiums with predictable adjustments, and the two-month history shows identical values ($2,149.43), indicating stable monthly premiums. The 5% threshold aligns with standard practice for semi-variable employee benefit accounts, as recommended by the AICPA's guidance on analytical procedures which suggests 5-10% for predictable operating expenses. Given the account's perfect stability and the nature of officer health insurance as a contractually fixed cost with minimal month-to-month variation, the current threshold provides appropriate sensitivity without generating unnecessary flags.</t>
  </si>
  <si>
    <t>The current 5% threshold is inadequate for this accounting fees account. With a 100% flag rate and an average absolute delta of 9%, the account consistently breaches the current threshold. Accounting fees, while typically considered a fixed cost, often exhibit semi-variable characteristics due to year-end adjustments, quarterly reviews, or project-based billing. The 9.3% month-to-month change observed (from $4,533.50 to $4,111.50) suggests legitimate business variations rather than errors. A 10% threshold aligns with AICPA guidance for professional services expenses and matches the account's actual volatility pattern (avg_absdelta of 0.09). This threshold reduction in false positives while maintaining adequate control, as recommended by the Journal of Accountancy's best practices for recurring professional service expenses.</t>
  </si>
  <si>
    <t>Business Days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</si>
</sst>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0\ _€"/>
    <numFmt numFmtId="165" formatCode="&quot;$&quot;* #,##0.00\ _€"/>
  </numFmts>
  <fonts count="8">
    <font>
      <name val="Aptos Narrow"/>
      <family val="2"/>
      <color indexed="8"/>
      <sz val="11"/>
      <scheme val="minor"/>
    </font>
    <font>
      <name val="Arial"/>
      <family val="2"/>
      <b val="1"/>
      <color indexed="8"/>
      <sz val="9"/>
    </font>
    <font>
      <name val="Arial"/>
      <family val="2"/>
      <b val="1"/>
      <color indexed="8"/>
      <sz val="8"/>
    </font>
    <font>
      <name val="Arial"/>
      <family val="2"/>
      <color indexed="8"/>
      <sz val="8"/>
    </font>
    <font>
      <name val="Arial"/>
      <family val="2"/>
      <b val="1"/>
      <color indexed="8"/>
      <sz val="14"/>
    </font>
    <font>
      <name val="Arial"/>
      <family val="2"/>
      <b val="1"/>
      <color indexed="8"/>
      <sz val="10"/>
    </font>
    <font>
      <family val="2"/>
      <b val="1"/>
      <color/>
      <sz val="11"/>
    </font>
    <font>
      <family val="2"/>
      <b val="1"/>
      <color/>
    </font>
  </fonts>
  <fills count="5">
    <fill>
      <patternFill patternType="none"/>
    </fill>
    <fill>
      <patternFill patternType="gray125"/>
    </fill>
    <fill>
      <patternFill patternType="solid">
        <fgColor rgb="FF0070C0"/>
      </patternFill>
    </fill>
    <fill>
      <patternFill patternType="solid">
        <fgColor rgb="FFFFFF00"/>
      </patternFill>
    </fill>
    <fill>
      <patternFill patternType="solid">
        <fgColor rgb="FF00B050"/>
      </patternFill>
    </fill>
  </fills>
  <borders count="4">
    <border>
      <left/>
      <right/>
      <top/>
      <bottom/>
      <diagonal/>
    </border>
    <border>
      <left/>
      <right/>
      <top/>
      <bottom style="thin">
        <color auto="true"/>
      </bottom>
      <diagonal/>
    </border>
    <border>
      <left/>
      <right/>
      <top style="thin">
        <color auto="true"/>
      </top>
      <bottom/>
      <diagonal/>
    </border>
    <border>
      <left/>
      <right/>
      <top style="thin">
        <color auto="true"/>
      </top>
      <bottom/>
      <diagonal/>
    </border>
  </borders>
  <cellStyleXfs count="1">
    <xf numFmtId="0" fontId="0" fillId="0" borderId="0"/>
  </cellStyleXfs>
  <cellXfs count="19">
    <xf numFmtId="0" fontId="0" fillId="0" borderId="0" xfId="0"/>
    <xf numFmtId="0" fontId="0" fillId="0" borderId="0" xfId="0" applyAlignment="true">
      <alignment wrapText="true"/>
    </xf>
    <xf numFmtId="0" fontId="1" fillId="0" borderId="1" xfId="0" applyFont="true" applyBorder="true" applyAlignment="true">
      <alignment horizontal="center" wrapText="true"/>
    </xf>
    <xf numFmtId="0" fontId="2" fillId="0" borderId="0" xfId="0" applyFont="true" applyAlignment="true">
      <alignment horizontal="left" wrapText="true"/>
    </xf>
    <xf numFmtId="164" fontId="3" fillId="0" borderId="0" xfId="0" applyNumberFormat="true" applyFont="true" applyAlignment="true">
      <alignment wrapText="true"/>
    </xf>
    <xf numFmtId="164" fontId="3" fillId="0" borderId="0" xfId="0" applyNumberFormat="true" applyFont="true" applyAlignment="true">
      <alignment horizontal="right" wrapText="true"/>
    </xf>
    <xf numFmtId="165" fontId="2" fillId="0" borderId="2" xfId="0" applyNumberFormat="true" applyFont="true" applyBorder="true" applyAlignment="true">
      <alignment horizontal="right" wrapText="true"/>
    </xf>
    <xf numFmtId="165" fontId="2" fillId="0" borderId="3" xfId="0" applyNumberFormat="true" applyFont="true" applyBorder="true" applyAlignment="true">
      <alignment horizontal="right" wrapText="true"/>
    </xf>
    <xf numFmtId="0" fontId="3" fillId="0" borderId="0" xfId="0" applyFont="true" applyAlignment="true">
      <alignment horizontal="center"/>
    </xf>
    <xf numFmtId="0" fontId="0" fillId="0" borderId="0" xfId="0"/>
    <xf numFmtId="0" fontId="4" fillId="0" borderId="0" xfId="0" applyFont="true" applyAlignment="true">
      <alignment horizontal="center"/>
    </xf>
    <xf numFmtId="0" fontId="5" fillId="0" borderId="0" xfId="0" applyFont="true" applyAlignment="true">
      <alignment horizontal="center"/>
    </xf>
    <xf numFmtId="0" fontId="6" fillId="0" borderId="0" xfId="0" applyFont="true" applyAlignment="true">
      <alignment horizontal="center"/>
    </xf>
    <xf numFmtId="164" fontId="3" fillId="2" borderId="0" xfId="0" applyNumberFormat="true" applyFont="true" applyFill="true" applyAlignment="true">
      <alignment horizontal="right" wrapText="true"/>
    </xf>
    <xf numFmtId="165" fontId="2" fillId="3" borderId="0" xfId="0" applyNumberFormat="true" applyFont="true" applyFill="true" applyAlignment="true">
      <alignment horizontal="right" wrapText="true"/>
    </xf>
    <xf numFmtId="164" fontId="3" fillId="3" borderId="0" xfId="0" applyNumberFormat="true" applyFont="true" applyFill="true" applyAlignment="true">
      <alignment horizontal="right" wrapText="true"/>
    </xf>
    <xf numFmtId="164" fontId="3" fillId="4" borderId="0" xfId="0" applyNumberFormat="true" applyFont="true" applyFill="true" applyAlignment="true">
      <alignment horizontal="right" wrapText="true"/>
    </xf>
    <xf numFmtId="0" fontId="7" fillId="0" borderId="0" xfId="0" applyFont="true" applyAlignment="false">
      <alignment/>
    </xf>
    <xf numFmtId="1" fontId="0" fillId="0" borderId="0" xfId="0" applyNumberFormat="true" applyAlignment="false">
      <alignment/>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0"/>
  <sheetViews>
    <sheetView tabSelected="true" workbookViewId="0">
      <selection sqref="A1:B1"/>
    </sheetView>
  </sheetViews>
  <sheetFormatPr defaultRowHeight="14.4"/>
  <cols>
    <col customWidth="true" max="1" min="1" width="43"/>
    <col customWidth="true" max="2" min="2" width="13.77734375"/>
  </cols>
  <sheetData>
    <row r="1" spans="1:2" ht="17.4">
      <c r="A1" s="10" t="s">
        <v>63</v>
      </c>
      <c r="B1" s="9"/>
    </row>
    <row r="2" spans="1:2" ht="17.4">
      <c r="A2" s="10" t="s">
        <v>64</v>
      </c>
      <c r="B2" s="9"/>
    </row>
    <row r="3" spans="1:2">
      <c r="A3" s="11" t="s">
        <v>65</v>
      </c>
      <c r="B3" s="9"/>
    </row>
    <row r="5" spans="1:2">
      <c r="A5" s="1"/>
      <c r="B5" s="2" t="s">
        <v>0</v>
      </c>
    </row>
    <row r="6" spans="1:2">
      <c r="A6" s="3" t="s">
        <v>1</v>
      </c>
      <c r="B6" s="4"/>
    </row>
    <row r="7" spans="1:2">
      <c r="A7" s="3" t="s">
        <v>2</v>
      </c>
      <c r="B7" s="4"/>
    </row>
    <row r="8" spans="1:2">
      <c r="A8" s="3" t="s">
        <v>3</v>
      </c>
      <c r="B8" s="4"/>
    </row>
    <row r="9" spans="1:2">
      <c r="A9" s="3" t="s">
        <v>4</v>
      </c>
      <c r="B9" s="5">
        <f>0</f>
        <v>0</v>
      </c>
    </row>
    <row r="10" spans="1:2">
      <c r="A10" s="3" t="s">
        <v>5</v>
      </c>
      <c r="B10" s="5">
        <f>12488.1</f>
        <v>12488.1</v>
      </c>
    </row>
    <row r="11" spans="1:2">
      <c r="A11" s="3" t="s">
        <v>6</v>
      </c>
      <c r="B11" s="5">
        <f>0.04</f>
        <v>0.04</v>
      </c>
    </row>
    <row r="12" spans="1:2">
      <c r="A12" s="3" t="s">
        <v>7</v>
      </c>
      <c r="B12" s="5">
        <f>230845.88</f>
        <v>230845.88</v>
      </c>
    </row>
    <row r="13" spans="1:2">
      <c r="A13" s="3" t="s">
        <v>8</v>
      </c>
      <c r="B13" s="5">
        <f>134844.13</f>
        <v>134844.13</v>
      </c>
    </row>
    <row r="14" spans="1:2">
      <c r="A14" s="3" t="s">
        <v>9</v>
      </c>
      <c r="B14" s="6">
        <f>((((B9)+(B10))+(B11))+(B12))+(B13)</f>
        <v>378178.15</v>
      </c>
    </row>
    <row r="15" spans="1:2">
      <c r="A15" s="3" t="s">
        <v>10</v>
      </c>
      <c r="B15" s="6">
        <f>B14</f>
        <v>378178.15</v>
      </c>
    </row>
    <row r="16" spans="1:2">
      <c r="A16" s="3" t="s">
        <v>11</v>
      </c>
      <c r="B16" s="4"/>
    </row>
    <row r="17" spans="1:2">
      <c r="A17" s="3" t="s">
        <v>12</v>
      </c>
      <c r="B17" s="5">
        <f>166273.29</f>
        <v>166273.29</v>
      </c>
    </row>
    <row r="18" spans="1:2">
      <c r="A18" s="3" t="s">
        <v>13</v>
      </c>
      <c r="B18" s="6">
        <f>B17</f>
        <v>166273.29</v>
      </c>
    </row>
    <row r="19" spans="1:2">
      <c r="A19" s="3" t="s">
        <v>14</v>
      </c>
      <c r="B19" s="4"/>
    </row>
    <row r="20" spans="1:2">
      <c r="A20" s="3" t="s">
        <v>15</v>
      </c>
      <c r="B20" s="4"/>
    </row>
    <row r="21" spans="1:2">
      <c r="A21" s="3" t="s">
        <v>16</v>
      </c>
      <c r="B21" s="5">
        <f>37309.86</f>
        <v>37309.86</v>
      </c>
    </row>
    <row r="22" spans="1:2">
      <c r="A22" s="3" t="s">
        <v>17</v>
      </c>
      <c r="B22" s="5">
        <f>4335.01</f>
        <v>4335.01</v>
      </c>
    </row>
    <row r="23" spans="1:2">
      <c r="A23" s="3" t="s">
        <v>18</v>
      </c>
      <c r="B23" s="6">
        <f>((B20)+(B21))+(B22)</f>
        <v>41644.870000000003</v>
      </c>
    </row>
    <row r="24" spans="1:2">
      <c r="A24" s="3" t="s">
        <v>19</v>
      </c>
      <c r="B24" s="4"/>
    </row>
    <row r="25" spans="1:2">
      <c r="A25" s="3" t="s">
        <v>20</v>
      </c>
      <c r="B25" s="5">
        <f>6957.95</f>
        <v>6957.95</v>
      </c>
    </row>
    <row r="26" spans="1:2">
      <c r="A26" s="3" t="s">
        <v>21</v>
      </c>
      <c r="B26" s="6">
        <f>(B24)+(B25)</f>
        <v>6957.95</v>
      </c>
    </row>
    <row r="27" spans="1:2">
      <c r="A27" s="3" t="s">
        <v>22</v>
      </c>
      <c r="B27" s="6">
        <f>(B23)+(B26)</f>
        <v>48602.82</v>
      </c>
    </row>
    <row r="28" spans="1:2">
      <c r="A28" s="3" t="s">
        <v>23</v>
      </c>
      <c r="B28" s="6">
        <f>((B15)+(B18))+(B27)</f>
        <v>593054.26</v>
      </c>
    </row>
    <row r="29" spans="1:2">
      <c r="A29" s="3" t="s">
        <v>24</v>
      </c>
      <c r="B29" s="7">
        <f>B28</f>
        <v>593054.26</v>
      </c>
    </row>
    <row r="30" spans="1:2">
      <c r="A30" s="3" t="s">
        <v>25</v>
      </c>
      <c r="B30" s="4"/>
    </row>
    <row r="31" spans="1:2">
      <c r="A31" s="3" t="s">
        <v>26</v>
      </c>
      <c r="B31" s="4"/>
    </row>
    <row r="32" spans="1:2">
      <c r="A32" s="3" t="s">
        <v>27</v>
      </c>
      <c r="B32" s="4"/>
    </row>
    <row r="33" spans="1:2">
      <c r="A33" s="3" t="s">
        <v>28</v>
      </c>
      <c r="B33" s="4"/>
    </row>
    <row r="34" spans="1:2">
      <c r="A34" s="3" t="s">
        <v>29</v>
      </c>
      <c r="B34" s="5">
        <f>122649.11</f>
        <v>122649.11</v>
      </c>
    </row>
    <row r="35" spans="1:2">
      <c r="A35" s="3" t="s">
        <v>30</v>
      </c>
      <c r="B35" s="6">
        <f>B34</f>
        <v>122649.11</v>
      </c>
    </row>
    <row r="36" spans="1:2">
      <c r="A36" s="3" t="s">
        <v>31</v>
      </c>
      <c r="B36" s="4"/>
    </row>
    <row r="37" spans="1:2">
      <c r="A37" s="3" t="s">
        <v>32</v>
      </c>
      <c r="B37" s="4"/>
    </row>
    <row r="38" spans="1:2">
      <c r="A38" s="3" t="s">
        <v>33</v>
      </c>
      <c r="B38" s="5">
        <f>4275.41</f>
        <v>4275.41</v>
      </c>
    </row>
    <row r="39" spans="1:2">
      <c r="A39" s="3" t="s">
        <v>34</v>
      </c>
      <c r="B39" s="5">
        <f>234.36</f>
        <v>234.36</v>
      </c>
    </row>
    <row r="40" spans="1:2">
      <c r="A40" s="3" t="s">
        <v>35</v>
      </c>
      <c r="B40" s="5">
        <f>627.33</f>
        <v>627.33000000000004</v>
      </c>
    </row>
    <row r="41" spans="1:2">
      <c r="A41" s="3" t="s">
        <v>36</v>
      </c>
      <c r="B41" s="5">
        <f>2677.95</f>
        <v>2677.95</v>
      </c>
    </row>
    <row r="42" spans="1:2">
      <c r="A42" s="3" t="s">
        <v>37</v>
      </c>
      <c r="B42" s="6">
        <f>((((B37)+(B38))+(B39))+(B40))+(B41)</f>
        <v>7815.0499999999993</v>
      </c>
    </row>
    <row r="43" spans="1:2">
      <c r="A43" s="3" t="s">
        <v>38</v>
      </c>
      <c r="B43" s="6">
        <f>B42</f>
        <v>7815.0499999999993</v>
      </c>
    </row>
    <row r="44" spans="1:2">
      <c r="A44" s="3" t="s">
        <v>39</v>
      </c>
      <c r="B44" s="4"/>
    </row>
    <row r="45" spans="1:2">
      <c r="A45" s="3" t="s">
        <v>40</v>
      </c>
      <c r="B45" s="4"/>
    </row>
    <row r="46" spans="1:2">
      <c r="A46" s="3" t="s">
        <v>41</v>
      </c>
      <c r="B46" s="5">
        <f>667.4</f>
        <v>667.4</v>
      </c>
    </row>
    <row r="47" spans="1:2">
      <c r="A47" s="3" t="s">
        <v>42</v>
      </c>
      <c r="B47" s="6">
        <f>(B45)+(B46)</f>
        <v>667.4</v>
      </c>
    </row>
    <row r="48" spans="1:2">
      <c r="A48" s="3" t="s">
        <v>43</v>
      </c>
      <c r="B48" s="5">
        <f>508952.73</f>
        <v>508952.73</v>
      </c>
    </row>
    <row r="49" spans="1:2">
      <c r="A49" s="3" t="s">
        <v>44</v>
      </c>
      <c r="B49" s="4"/>
    </row>
    <row r="50" spans="1:2">
      <c r="A50" s="3" t="s">
        <v>45</v>
      </c>
      <c r="B50" s="5">
        <f>6718.74</f>
        <v>6718.74</v>
      </c>
    </row>
    <row r="51" spans="1:2">
      <c r="A51" s="3" t="s">
        <v>46</v>
      </c>
      <c r="B51" s="5">
        <f>6006.21</f>
        <v>6006.21</v>
      </c>
    </row>
    <row r="52" spans="1:2">
      <c r="A52" s="3" t="s">
        <v>47</v>
      </c>
      <c r="B52" s="6">
        <f>((B49)+(B50))+(B51)</f>
        <v>12724.95</v>
      </c>
    </row>
    <row r="53" spans="1:2">
      <c r="A53" s="3" t="s">
        <v>48</v>
      </c>
      <c r="B53" s="4"/>
    </row>
    <row r="54" spans="1:2">
      <c r="A54" s="3" t="s">
        <v>49</v>
      </c>
      <c r="B54" s="5">
        <f>17500</f>
        <v>17500</v>
      </c>
    </row>
    <row r="55" spans="1:2">
      <c r="A55" s="3" t="s">
        <v>50</v>
      </c>
      <c r="B55" s="6">
        <f>(B53)+(B54)</f>
        <v>17500</v>
      </c>
    </row>
    <row r="56" spans="1:2">
      <c r="A56" s="3" t="s">
        <v>51</v>
      </c>
      <c r="B56" s="6">
        <f>(((B47)+(B48))+(B52))+(B55)</f>
        <v>539845.08000000007</v>
      </c>
    </row>
    <row r="57" spans="1:2">
      <c r="A57" s="3" t="s">
        <v>52</v>
      </c>
      <c r="B57" s="6">
        <f>((B35)+(B43))+(B56)</f>
        <v>670309.24000000011</v>
      </c>
    </row>
    <row r="58" spans="1:2">
      <c r="A58" s="3" t="s">
        <v>53</v>
      </c>
      <c r="B58" s="6">
        <f>B57</f>
        <v>670309.24000000011</v>
      </c>
    </row>
    <row r="59" spans="1:2">
      <c r="A59" s="3" t="s">
        <v>54</v>
      </c>
      <c r="B59" s="4"/>
    </row>
    <row r="60" spans="1:2">
      <c r="A60" s="3" t="s">
        <v>55</v>
      </c>
      <c r="B60" s="5">
        <f>0</f>
        <v>0</v>
      </c>
    </row>
    <row r="61" spans="1:2">
      <c r="A61" s="3" t="s">
        <v>56</v>
      </c>
      <c r="B61" s="5">
        <f>-26110</f>
        <v>-26110</v>
      </c>
    </row>
    <row r="62" spans="1:2">
      <c r="A62" s="3" t="s">
        <v>57</v>
      </c>
      <c r="B62" s="6">
        <f>(B60)+(B61)</f>
        <v>-26110</v>
      </c>
    </row>
    <row r="63" spans="1:2">
      <c r="A63" s="3" t="s">
        <v>58</v>
      </c>
      <c r="B63" s="5">
        <f>-92023.23</f>
        <v>-92023.23</v>
      </c>
    </row>
    <row r="64" spans="1:2">
      <c r="A64" s="3" t="s">
        <v>59</v>
      </c>
      <c r="B64" s="5">
        <f>40878.25</f>
        <v>40878.25</v>
      </c>
    </row>
    <row r="65" spans="1:2">
      <c r="A65" s="3" t="s">
        <v>60</v>
      </c>
      <c r="B65" s="6">
        <f>((B62)+(B63))+(B64)</f>
        <v>-77254.98</v>
      </c>
    </row>
    <row r="66" spans="1:2">
      <c r="A66" s="3" t="s">
        <v>61</v>
      </c>
      <c r="B66" s="7">
        <f>(B58)+(B65)</f>
        <v>593054.26000000013</v>
      </c>
    </row>
    <row r="67" spans="1:2">
      <c r="A67" s="3"/>
      <c r="B67" s="4"/>
    </row>
    <row r="70" spans="1:2">
      <c r="A70" s="8" t="s">
        <v>62</v>
      </c>
      <c r="B70" s="9"/>
    </row>
  </sheetData>
  <mergeCells count="4">
    <mergeCell ref="A70:B70"/>
    <mergeCell ref="A1:B1"/>
    <mergeCell ref="A2:B2"/>
    <mergeCell ref="A3:B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FD027-105C-4B53-9F97-7D627A66901D}">
  <dimension ref="A1:D111"/>
  <sheetViews>
    <sheetView workbookViewId="0">
      <selection sqref="A1:D1"/>
    </sheetView>
  </sheetViews>
  <sheetFormatPr defaultRowHeight="14.4"/>
  <cols>
    <col customWidth="true" max="1" min="1" width="38.6640625"/>
    <col customWidth="true" max="4" min="2" width="10.33203125"/>
  </cols>
  <sheetData>
    <row r="1" spans="1:4" ht="17.4">
      <c r="A1" s="10" t="s">
        <v>63</v>
      </c>
      <c r="B1" s="9"/>
      <c r="C1" s="9"/>
      <c r="D1" s="9"/>
    </row>
    <row r="2" spans="1:4" ht="17.4">
      <c r="A2" s="10" t="s">
        <v>172</v>
      </c>
      <c r="B2" s="9"/>
      <c r="C2" s="9"/>
      <c r="D2" s="9"/>
    </row>
    <row r="3" spans="1:4">
      <c r="A3" s="11" t="s">
        <v>171</v>
      </c>
      <c r="B3" s="9"/>
      <c r="C3" s="9"/>
      <c r="D3" s="9"/>
    </row>
    <row r="5">
      <c r="A5" s="17" t="s">
        <v>195</v>
      </c>
      <c r="B5" s="18">
        <v>22</v>
      </c>
      <c r="C5" s="18">
        <v>20</v>
      </c>
    </row>
    <row r="6" spans="1:4">
      <c r="A6" s="1"/>
      <c r="B6" s="2" t="s">
        <v>170</v>
      </c>
      <c r="C6" s="2" t="s">
        <v>169</v>
      </c>
      <c r="D6" s="2" t="s">
        <v>0</v>
      </c>
      <c r="F6" s="12" t="s">
        <v>173</v>
      </c>
      <c r="G6" s="12" t="s">
        <v>174</v>
      </c>
      <c r="H6" s="12" t="s">
        <v>175</v>
      </c>
      <c r="I6" s="12" t="s">
        <v>176</v>
      </c>
      <c r="J6" s="12" t="s">
        <v>177</v>
      </c>
    </row>
    <row r="7" spans="1:4">
      <c r="A7" s="3" t="s">
        <v>168</v>
      </c>
      <c r="B7" s="4"/>
      <c r="C7" s="4"/>
      <c r="D7" s="4"/>
    </row>
    <row r="8" spans="1:4">
      <c r="A8" s="3" t="s">
        <v>167</v>
      </c>
      <c r="B8" s="4"/>
      <c r="C8" s="4"/>
      <c r="D8" s="5">
        <f>(B8)+(C8)</f>
        <v>0</v>
      </c>
    </row>
    <row r="9" spans="1:4">
      <c r="A9" s="3" t="s">
        <v>166</v>
      </c>
      <c r="B9" s="5">
        <f>45036.41</f>
        <v>45036.41</v>
      </c>
      <c r="C9" s="5">
        <f>46916.33</f>
        <v>46916.33</v>
      </c>
      <c r="D9" s="5">
        <f>(B9)+(C9)</f>
        <v>91952.74</v>
      </c>
    </row>
    <row r="10" spans="1:4">
      <c r="A10" s="3" t="s">
        <v>165</v>
      </c>
      <c r="B10" s="5">
        <f>70720.17</f>
        <v>70720.17</v>
      </c>
      <c r="C10" s="5">
        <f>79614.27</f>
        <v>79614.27</v>
      </c>
      <c r="D10" s="5">
        <f>(B10)+(C10)</f>
        <v>150334.44</v>
      </c>
    </row>
    <row r="11" spans="1:4">
      <c r="A11" s="3" t="s">
        <v>164</v>
      </c>
      <c r="B11" s="5">
        <f>53035.5</f>
        <v>53035.5</v>
      </c>
      <c r="C11" s="5">
        <f>84139.81</f>
        <v>84139.81</v>
      </c>
      <c r="D11" s="5">
        <f>(B11)+(C11)</f>
        <v>137175.31</v>
      </c>
    </row>
    <row r="12" spans="1:4">
      <c r="A12" s="3" t="s">
        <v>163</v>
      </c>
      <c r="B12" s="7">
        <f>(((B8)+(B9))+(B10))+(B11)</f>
        <v>168792.08</v>
      </c>
      <c r="C12" s="7">
        <f>(((C8)+(C9))+(C10))+(C11)</f>
        <v>210670.41</v>
      </c>
      <c r="D12" s="7">
        <f>(B12)+(C12)</f>
        <v>379462.49</v>
      </c>
    </row>
    <row r="13" spans="1:4">
      <c r="A13" s="3" t="s">
        <v>162</v>
      </c>
      <c r="B13" s="4"/>
      <c r="C13" s="5">
        <f>7907.91</f>
        <v>7907.91</v>
      </c>
      <c r="D13" s="5">
        <f>(B13)+(C13)</f>
        <v>7907.91</v>
      </c>
    </row>
    <row r="14" spans="1:4">
      <c r="A14" s="3" t="s">
        <v>161</v>
      </c>
      <c r="B14" s="7">
        <f>(B12)+(B13)</f>
        <v>168792.08</v>
      </c>
      <c r="C14" s="7">
        <f>(C12)+(C13)</f>
        <v>218578.32</v>
      </c>
      <c r="D14" s="7">
        <f>(B14)+(C14)</f>
        <v>387370.4</v>
      </c>
    </row>
    <row r="15" spans="1:4">
      <c r="A15" s="3" t="s">
        <v>160</v>
      </c>
      <c r="B15" s="4"/>
      <c r="C15" s="4"/>
      <c r="D15" s="4"/>
    </row>
    <row r="16" spans="1:4">
      <c r="A16" s="3" t="s">
        <v>159</v>
      </c>
      <c r="B16" s="4"/>
      <c r="C16" s="4"/>
      <c r="D16" s="5">
        <f>(B16)+(C16)</f>
        <v>0</v>
      </c>
    </row>
    <row r="17" spans="1:4">
      <c r="A17" s="3" t="s">
        <v>158</v>
      </c>
      <c r="B17" s="5">
        <f>80330.01</f>
        <v>80330.01</v>
      </c>
      <c r="C17" s="5">
        <f>117061.4</f>
        <v>117061.4</v>
      </c>
      <c r="D17" s="5">
        <f>(B17)+(C17)</f>
        <v>197391.41</v>
      </c>
    </row>
    <row r="18" spans="1:4">
      <c r="A18" s="3" t="s">
        <v>157</v>
      </c>
      <c r="B18" s="5">
        <f>3214.22</f>
        <v>3214.22</v>
      </c>
      <c r="C18" s="13">
        <f>241.18</f>
        <v>241.18</v>
      </c>
      <c r="D18" s="5">
        <f>(B18)+(C18)</f>
        <v>3455.4</v>
      </c>
    </row>
    <row r="19" spans="1:4">
      <c r="A19" s="3" t="s">
        <v>156</v>
      </c>
      <c r="B19" s="4"/>
      <c r="C19" s="5">
        <f>584.5</f>
        <v>584.5</v>
      </c>
      <c r="D19" s="5">
        <f>(B19)+(C19)</f>
        <v>584.5</v>
      </c>
    </row>
    <row r="20" spans="1:4">
      <c r="A20" s="3" t="s">
        <v>155</v>
      </c>
      <c r="B20" s="7">
        <f>(((B16)+(B17))+(B18))+(B19)</f>
        <v>83544.23</v>
      </c>
      <c r="C20" s="7">
        <f>(((C16)+(C17))+(C18))+(C19)</f>
        <v>117887.08</v>
      </c>
      <c r="D20" s="7">
        <f>(B20)+(C20)</f>
        <v>201431.31</v>
      </c>
    </row>
    <row r="21" spans="1:4">
      <c r="A21" s="3" t="s">
        <v>154</v>
      </c>
      <c r="B21" s="7">
        <f>B20</f>
        <v>83544.23</v>
      </c>
      <c r="C21" s="7">
        <f>C20</f>
        <v>117887.08</v>
      </c>
      <c r="D21" s="7">
        <f>(B21)+(C21)</f>
        <v>201431.31</v>
      </c>
    </row>
    <row r="22" spans="1:4">
      <c r="A22" s="3" t="s">
        <v>153</v>
      </c>
      <c r="B22" s="7">
        <f>(B14)-(B21)</f>
        <v>85247.85</v>
      </c>
      <c r="C22" s="14">
        <f>(C14)-(C21)</f>
        <v>100691.24</v>
      </c>
      <c r="D22" s="7">
        <f>(B22)+(C22)</f>
        <v>185939.09</v>
      </c>
      <c r="F22">
        <v>0.05</v>
      </c>
      <c r="I22">
        <v>0.25</v>
      </c>
      <c r="J22" t="s">
        <v>178</v>
      </c>
    </row>
    <row r="23" spans="1:4">
      <c r="A23" s="3" t="s">
        <v>152</v>
      </c>
      <c r="B23" s="4"/>
      <c r="C23" s="4"/>
      <c r="D23" s="4"/>
    </row>
    <row r="24" spans="1:4">
      <c r="A24" s="3" t="s">
        <v>151</v>
      </c>
      <c r="B24" s="4"/>
      <c r="C24" s="4"/>
      <c r="D24" s="5">
        <f>(B24)+(C24)</f>
        <v>0</v>
      </c>
    </row>
    <row r="25" spans="1:4">
      <c r="A25" s="3" t="s">
        <v>150</v>
      </c>
      <c r="B25" s="5">
        <f>11862.5</f>
        <v>11862.5</v>
      </c>
      <c r="C25" s="15">
        <f>10235</f>
        <v>10235</v>
      </c>
      <c r="D25" s="5">
        <f>(B25)+(C25)</f>
        <v>22097.5</v>
      </c>
      <c r="F25">
        <v>0.05</v>
      </c>
      <c r="I25">
        <v>0.15</v>
      </c>
      <c r="J25" t="s">
        <v>179</v>
      </c>
    </row>
    <row r="26" spans="1:4">
      <c r="A26" s="3" t="s">
        <v>149</v>
      </c>
      <c r="B26" s="5">
        <f>24096.35</f>
        <v>24096.35</v>
      </c>
      <c r="C26" s="15">
        <f>14389.22</f>
        <v>14389.22</v>
      </c>
      <c r="D26" s="5">
        <f>(B26)+(C26)</f>
        <v>38485.57</v>
      </c>
      <c r="F26">
        <v>0.15</v>
      </c>
      <c r="I26">
        <v>0.2</v>
      </c>
      <c r="J26" t="s">
        <v>180</v>
      </c>
    </row>
    <row r="27" spans="1:4">
      <c r="A27" s="3" t="s">
        <v>148</v>
      </c>
      <c r="B27" s="5">
        <f>5383.17</f>
        <v>5383.17</v>
      </c>
      <c r="C27" s="15">
        <f>2359.73</f>
        <v>2359.73</v>
      </c>
      <c r="D27" s="5">
        <f>(B27)+(C27)</f>
        <v>7742.9</v>
      </c>
      <c r="F27">
        <v>0.15</v>
      </c>
      <c r="I27">
        <v>0.25</v>
      </c>
      <c r="J27" t="s">
        <v>181</v>
      </c>
    </row>
    <row r="28" spans="1:4">
      <c r="A28" s="3" t="s">
        <v>147</v>
      </c>
      <c r="B28" s="5">
        <f>743.75</f>
        <v>743.75</v>
      </c>
      <c r="C28" s="13">
        <f>425.29</f>
        <v>425.29</v>
      </c>
      <c r="D28" s="5">
        <f>(B28)+(C28)</f>
        <v>1169.04</v>
      </c>
    </row>
    <row r="29" spans="1:4">
      <c r="A29" s="3" t="s">
        <v>146</v>
      </c>
      <c r="B29" s="4"/>
      <c r="C29" s="5">
        <f>0</f>
        <v>0</v>
      </c>
      <c r="D29" s="5">
        <f>(B29)+(C29)</f>
        <v>0</v>
      </c>
    </row>
    <row r="30" spans="1:4">
      <c r="A30" s="3" t="s">
        <v>145</v>
      </c>
      <c r="B30" s="5">
        <f>140</f>
        <v>140</v>
      </c>
      <c r="C30" s="16">
        <f>140</f>
        <v>140</v>
      </c>
      <c r="D30" s="5">
        <f>(B30)+(C30)</f>
        <v>280</v>
      </c>
      <c r="F30">
        <v>0.15</v>
      </c>
      <c r="I30">
        <v>0.05</v>
      </c>
      <c r="J30" t="s">
        <v>182</v>
      </c>
    </row>
    <row r="31" spans="1:4">
      <c r="A31" s="3" t="s">
        <v>144</v>
      </c>
      <c r="B31" s="5">
        <f>138.46</f>
        <v>138.46</v>
      </c>
      <c r="C31" s="13">
        <f>138.46</f>
        <v>138.46</v>
      </c>
      <c r="D31" s="5">
        <f>(B31)+(C31)</f>
        <v>276.92</v>
      </c>
    </row>
    <row r="32" spans="1:4">
      <c r="A32" s="3" t="s">
        <v>143</v>
      </c>
      <c r="B32" s="7">
        <f>(((((((B24)+(B25))+(B26))+(B27))+(B28))+(B29))+(B30))+(B31)</f>
        <v>42364.23</v>
      </c>
      <c r="C32" s="7">
        <f>(((((((C24)+(C25))+(C26))+(C27))+(C28))+(C29))+(C30))+(C31)</f>
        <v>27687.7</v>
      </c>
      <c r="D32" s="7">
        <f>(B32)+(C32)</f>
        <v>70051.93</v>
      </c>
    </row>
    <row r="33" spans="1:4">
      <c r="A33" s="3" t="s">
        <v>142</v>
      </c>
      <c r="B33" s="4"/>
      <c r="C33" s="4"/>
      <c r="D33" s="5">
        <f>(B33)+(C33)</f>
        <v>0</v>
      </c>
    </row>
    <row r="34" spans="1:4">
      <c r="A34" s="3" t="s">
        <v>141</v>
      </c>
      <c r="B34" s="5">
        <f>2110.2</f>
        <v>2110.2</v>
      </c>
      <c r="C34" s="5">
        <f>2317.85</f>
        <v>2317.85</v>
      </c>
      <c r="D34" s="5">
        <f>(B34)+(C34)</f>
        <v>4428.05</v>
      </c>
    </row>
    <row r="35" spans="1:4">
      <c r="A35" s="3" t="s">
        <v>140</v>
      </c>
      <c r="B35" s="5">
        <f>2766.1</f>
        <v>2766.1</v>
      </c>
      <c r="C35" s="5">
        <f>2596.1</f>
        <v>2596.1</v>
      </c>
      <c r="D35" s="5">
        <f>(B35)+(C35)</f>
        <v>5362.2</v>
      </c>
    </row>
    <row r="36" spans="1:4">
      <c r="A36" s="3" t="s">
        <v>139</v>
      </c>
      <c r="B36" s="5">
        <f>1282.55</f>
        <v>1282.55</v>
      </c>
      <c r="C36" s="5">
        <f>6182.8</f>
        <v>6182.8</v>
      </c>
      <c r="D36" s="5">
        <f>(B36)+(C36)</f>
        <v>7465.35</v>
      </c>
    </row>
    <row r="37" spans="1:4">
      <c r="A37" s="3" t="s">
        <v>138</v>
      </c>
      <c r="B37" s="5">
        <f>731.25</f>
        <v>731.25</v>
      </c>
      <c r="C37" s="4"/>
      <c r="D37" s="5">
        <f>(B37)+(C37)</f>
        <v>731.25</v>
      </c>
    </row>
    <row r="38" spans="1:4">
      <c r="A38" s="3" t="s">
        <v>137</v>
      </c>
      <c r="B38" s="7">
        <f>((((B33)+(B34))+(B35))+(B36))+(B37)</f>
        <v>6890.1</v>
      </c>
      <c r="C38" s="7">
        <f>((((C33)+(C34))+(C35))+(C36))+(C37)</f>
        <v>11096.75</v>
      </c>
      <c r="D38" s="7">
        <f>(B38)+(C38)</f>
        <v>17986.85</v>
      </c>
    </row>
    <row r="39" spans="1:4">
      <c r="A39" s="3" t="s">
        <v>136</v>
      </c>
      <c r="B39" s="4"/>
      <c r="C39" s="4"/>
      <c r="D39" s="5">
        <f>(B39)+(C39)</f>
        <v>0</v>
      </c>
    </row>
    <row r="40" spans="1:4">
      <c r="A40" s="3" t="s">
        <v>135</v>
      </c>
      <c r="B40" s="5">
        <f>549</f>
        <v>549</v>
      </c>
      <c r="C40" s="5">
        <f>0</f>
        <v>0</v>
      </c>
      <c r="D40" s="5">
        <f>(B40)+(C40)</f>
        <v>549</v>
      </c>
    </row>
    <row r="41" spans="1:4">
      <c r="A41" s="3" t="s">
        <v>134</v>
      </c>
      <c r="B41" s="5">
        <f>5832.29</f>
        <v>5832.29</v>
      </c>
      <c r="C41" s="5">
        <f>851.75</f>
        <v>851.75</v>
      </c>
      <c r="D41" s="5">
        <f>(B41)+(C41)</f>
        <v>6684.04</v>
      </c>
    </row>
    <row r="42" spans="1:4">
      <c r="A42" s="3" t="s">
        <v>133</v>
      </c>
      <c r="B42" s="5">
        <f>10902.28</f>
        <v>10902.28</v>
      </c>
      <c r="C42" s="5">
        <f>1396.61</f>
        <v>1396.61</v>
      </c>
      <c r="D42" s="5">
        <f>(B42)+(C42)</f>
        <v>12298.89</v>
      </c>
    </row>
    <row r="43" spans="1:4">
      <c r="A43" s="3" t="s">
        <v>132</v>
      </c>
      <c r="B43" s="7">
        <f>(((B39)+(B40))+(B41))+(B42)</f>
        <v>17283.57</v>
      </c>
      <c r="C43" s="7">
        <f>(((C39)+(C40))+(C41))+(C42)</f>
        <v>2248.36</v>
      </c>
      <c r="D43" s="7">
        <f>(B43)+(C43)</f>
        <v>19531.93</v>
      </c>
    </row>
    <row r="44" spans="1:4">
      <c r="A44" s="3" t="s">
        <v>131</v>
      </c>
      <c r="B44" s="4"/>
      <c r="C44" s="4"/>
      <c r="D44" s="5">
        <f>(B44)+(C44)</f>
        <v>0</v>
      </c>
    </row>
    <row r="45" spans="1:4">
      <c r="A45" s="3" t="s">
        <v>130</v>
      </c>
      <c r="B45" s="5">
        <f>779.52</f>
        <v>779.52</v>
      </c>
      <c r="C45" s="5">
        <f>868.71</f>
        <v>868.71</v>
      </c>
      <c r="D45" s="5">
        <f>(B45)+(C45)</f>
        <v>1648.23</v>
      </c>
    </row>
    <row r="46" spans="1:4">
      <c r="A46" s="3" t="s">
        <v>129</v>
      </c>
      <c r="B46" s="5">
        <f>3026.44</f>
        <v>3026.44</v>
      </c>
      <c r="C46" s="16">
        <f>2949.16</f>
        <v>2949.16</v>
      </c>
      <c r="D46" s="5">
        <f>(B46)+(C46)</f>
        <v>5975.6</v>
      </c>
      <c r="F46">
        <v>0.15</v>
      </c>
      <c r="I46">
        <v>0.05</v>
      </c>
      <c r="J46" t="s">
        <v>183</v>
      </c>
    </row>
    <row r="47" spans="1:4">
      <c r="A47" s="3" t="s">
        <v>128</v>
      </c>
      <c r="B47" s="7">
        <f>((B44)+(B45))+(B46)</f>
        <v>3805.96</v>
      </c>
      <c r="C47" s="7">
        <f>((C44)+(C45))+(C46)</f>
        <v>3817.87</v>
      </c>
      <c r="D47" s="7">
        <f>(B47)+(C47)</f>
        <v>7623.83</v>
      </c>
    </row>
    <row r="48" spans="1:4">
      <c r="A48" s="3" t="s">
        <v>127</v>
      </c>
      <c r="B48" s="4"/>
      <c r="C48" s="4"/>
      <c r="D48" s="5">
        <f>(B48)+(C48)</f>
        <v>0</v>
      </c>
    </row>
    <row r="49" spans="1:4">
      <c r="A49" s="3" t="s">
        <v>126</v>
      </c>
      <c r="B49" s="5">
        <f>60.87</f>
        <v>60.87</v>
      </c>
      <c r="C49" s="5">
        <f>380.39</f>
        <v>380.39</v>
      </c>
      <c r="D49" s="5">
        <f>(B49)+(C49)</f>
        <v>441.26</v>
      </c>
    </row>
    <row r="50" spans="1:4">
      <c r="A50" s="3" t="s">
        <v>125</v>
      </c>
      <c r="B50" s="5">
        <f>229.55</f>
        <v>229.55</v>
      </c>
      <c r="C50" s="4"/>
      <c r="D50" s="5">
        <f>(B50)+(C50)</f>
        <v>229.55</v>
      </c>
    </row>
    <row r="51" spans="1:4">
      <c r="A51" s="3" t="s">
        <v>124</v>
      </c>
      <c r="B51" s="4"/>
      <c r="C51" s="5">
        <f>870.58</f>
        <v>870.58</v>
      </c>
      <c r="D51" s="5">
        <f>(B51)+(C51)</f>
        <v>870.58</v>
      </c>
    </row>
    <row r="52" spans="1:4">
      <c r="A52" s="3" t="s">
        <v>123</v>
      </c>
      <c r="B52" s="4"/>
      <c r="C52" s="5">
        <f>541.46</f>
        <v>541.46</v>
      </c>
      <c r="D52" s="5">
        <f>(B52)+(C52)</f>
        <v>541.46</v>
      </c>
    </row>
    <row r="53" spans="1:4">
      <c r="A53" s="3" t="s">
        <v>122</v>
      </c>
      <c r="B53" s="5"/>
      <c r="C53" s="5">
        <f>90</f>
        <v>90</v>
      </c>
      <c r="D53" s="5">
        <f>(B53)+(C53)</f>
        <v>90</v>
      </c>
    </row>
    <row r="54" spans="1:4">
      <c r="A54" s="3" t="s">
        <v>121</v>
      </c>
      <c r="B54" s="5">
        <f>0</f>
        <v>0</v>
      </c>
      <c r="C54" s="5">
        <f>0</f>
        <v>0</v>
      </c>
      <c r="D54" s="5">
        <f>(B54)+(C54)</f>
        <v>0</v>
      </c>
    </row>
    <row r="55" spans="1:4">
      <c r="A55" s="3" t="s">
        <v>120</v>
      </c>
      <c r="B55" s="7">
        <f>((((((B48)+(B49))+(B50))+(B51))+(B52))+(B53))+(B54)</f>
        <v>290.42</v>
      </c>
      <c r="C55" s="7">
        <f>((((((C48)+(C49))+(C50))+(C51))+(C52))+(C53))+(C54)</f>
        <v>1882.43</v>
      </c>
      <c r="D55" s="7">
        <f>(B55)+(C55)</f>
        <v>2172.85</v>
      </c>
    </row>
    <row r="56" spans="1:4">
      <c r="A56" s="3" t="s">
        <v>119</v>
      </c>
      <c r="B56" s="4"/>
      <c r="C56" s="4"/>
      <c r="D56" s="5">
        <f>(B56)+(C56)</f>
        <v>0</v>
      </c>
    </row>
    <row r="57" spans="1:4">
      <c r="A57" s="3" t="s">
        <v>118</v>
      </c>
      <c r="B57" s="5">
        <f>819.95</f>
        <v>819.95</v>
      </c>
      <c r="C57" s="13">
        <f>819.95</f>
        <v>819.95</v>
      </c>
      <c r="D57" s="5">
        <f>(B57)+(C57)</f>
        <v>1639.9</v>
      </c>
    </row>
    <row r="58" spans="1:4">
      <c r="A58" s="3" t="s">
        <v>117</v>
      </c>
      <c r="B58" s="5">
        <f>100</f>
        <v>100</v>
      </c>
      <c r="C58" s="16">
        <f>100</f>
        <v>100</v>
      </c>
      <c r="D58" s="5">
        <f>(B58)+(C58)</f>
        <v>200</v>
      </c>
      <c r="F58">
        <v>0.15</v>
      </c>
      <c r="I58">
        <v>0.1</v>
      </c>
      <c r="J58" t="s">
        <v>184</v>
      </c>
    </row>
    <row r="59" spans="1:4">
      <c r="A59" s="3" t="s">
        <v>116</v>
      </c>
      <c r="B59" s="5">
        <f>49.96</f>
        <v>49.96</v>
      </c>
      <c r="C59" s="5">
        <f>49.96</f>
        <v>49.96</v>
      </c>
      <c r="D59" s="5">
        <f>(B59)+(C59)</f>
        <v>99.92</v>
      </c>
    </row>
    <row r="60" spans="1:4">
      <c r="A60" s="3" t="s">
        <v>115</v>
      </c>
      <c r="B60" s="7">
        <f>(((B56)+(B57))+(B58))+(B59)</f>
        <v>969.91</v>
      </c>
      <c r="C60" s="7">
        <f>(((C56)+(C57))+(C58))+(C59)</f>
        <v>969.91</v>
      </c>
      <c r="D60" s="7">
        <f>(B60)+(C60)</f>
        <v>1939.82</v>
      </c>
    </row>
    <row r="61" spans="1:4">
      <c r="A61" s="3" t="s">
        <v>114</v>
      </c>
      <c r="B61" s="4"/>
      <c r="C61" s="4"/>
      <c r="D61" s="5">
        <f>(B61)+(C61)</f>
        <v>0</v>
      </c>
    </row>
    <row r="62" spans="1:4">
      <c r="A62" s="3" t="s">
        <v>113</v>
      </c>
      <c r="B62" s="5">
        <f>1437.13</f>
        <v>1437.13</v>
      </c>
      <c r="C62" s="16">
        <f>1437.13</f>
        <v>1437.13</v>
      </c>
      <c r="D62" s="5">
        <f>(B62)+(C62)</f>
        <v>2874.26</v>
      </c>
      <c r="F62">
        <v>0.05</v>
      </c>
      <c r="I62">
        <v>0.01</v>
      </c>
      <c r="J62" t="s">
        <v>185</v>
      </c>
    </row>
    <row r="63" spans="1:4">
      <c r="A63" s="3" t="s">
        <v>112</v>
      </c>
      <c r="B63" s="5">
        <f>93.28</f>
        <v>93.28</v>
      </c>
      <c r="C63" s="16">
        <f>79.8</f>
        <v>79.8</v>
      </c>
      <c r="D63" s="5">
        <f>(B63)+(C63)</f>
        <v>173.08</v>
      </c>
      <c r="F63">
        <v>0.15</v>
      </c>
      <c r="I63">
        <v>0.15</v>
      </c>
      <c r="J63" t="s">
        <v>186</v>
      </c>
    </row>
    <row r="64" spans="1:4">
      <c r="A64" s="3" t="s">
        <v>111</v>
      </c>
      <c r="B64" s="5">
        <f>251.34</f>
        <v>251.34</v>
      </c>
      <c r="C64" s="16">
        <f>264.31</f>
        <v>264.31</v>
      </c>
      <c r="D64" s="5">
        <f>(B64)+(C64)</f>
        <v>515.65</v>
      </c>
      <c r="F64">
        <v>0.15</v>
      </c>
      <c r="I64">
        <v>0.1</v>
      </c>
      <c r="J64" t="s">
        <v>187</v>
      </c>
    </row>
    <row r="65" spans="1:4">
      <c r="A65" s="3" t="s">
        <v>110</v>
      </c>
      <c r="B65" s="5">
        <f>112.72</f>
        <v>112.72</v>
      </c>
      <c r="C65" s="16">
        <f>112.72</f>
        <v>112.72</v>
      </c>
      <c r="D65" s="5">
        <f>(B65)+(C65)</f>
        <v>225.44</v>
      </c>
      <c r="F65">
        <v>0.15</v>
      </c>
      <c r="I65">
        <v>0.05</v>
      </c>
      <c r="J65" t="s">
        <v>188</v>
      </c>
    </row>
    <row r="66" spans="1:4">
      <c r="A66" s="3" t="s">
        <v>109</v>
      </c>
      <c r="B66" s="5">
        <f>156.94</f>
        <v>156.94</v>
      </c>
      <c r="C66" s="5">
        <f>44.49</f>
        <v>44.49</v>
      </c>
      <c r="D66" s="5">
        <f>(B66)+(C66)</f>
        <v>201.43</v>
      </c>
    </row>
    <row r="67" spans="1:4">
      <c r="A67" s="3" t="s">
        <v>108</v>
      </c>
      <c r="B67" s="7">
        <f>(((((B61)+(B62))+(B63))+(B64))+(B65))+(B66)</f>
        <v>2051.41</v>
      </c>
      <c r="C67" s="7">
        <f>(((((C61)+(C62))+(C63))+(C64))+(C65))+(C66)</f>
        <v>1938.45</v>
      </c>
      <c r="D67" s="7">
        <f>(B67)+(C67)</f>
        <v>3989.86</v>
      </c>
    </row>
    <row r="68" spans="1:4">
      <c r="A68" s="3" t="s">
        <v>107</v>
      </c>
      <c r="B68" s="4"/>
      <c r="C68" s="4"/>
      <c r="D68" s="5">
        <f>(B68)+(C68)</f>
        <v>0</v>
      </c>
    </row>
    <row r="69" spans="1:4">
      <c r="A69" s="3" t="s">
        <v>106</v>
      </c>
      <c r="B69" s="5">
        <f>316.28</f>
        <v>316.28</v>
      </c>
      <c r="C69" s="16">
        <f>316.28</f>
        <v>316.28</v>
      </c>
      <c r="D69" s="5">
        <f>(B69)+(C69)</f>
        <v>632.56</v>
      </c>
      <c r="F69">
        <v>0.05</v>
      </c>
      <c r="I69">
        <v>0.01</v>
      </c>
      <c r="J69" t="s">
        <v>189</v>
      </c>
    </row>
    <row r="70" spans="1:4">
      <c r="A70" s="3" t="s">
        <v>105</v>
      </c>
      <c r="B70" s="5">
        <f>47.66</f>
        <v>47.66</v>
      </c>
      <c r="C70" s="16">
        <f>31.51</f>
        <v>31.51</v>
      </c>
      <c r="D70" s="5">
        <f>(B70)+(C70)</f>
        <v>79.17</v>
      </c>
      <c r="F70">
        <v>0.05</v>
      </c>
    </row>
    <row r="71" spans="1:4">
      <c r="A71" s="3" t="s">
        <v>104</v>
      </c>
      <c r="B71" s="5">
        <f>310</f>
        <v>310</v>
      </c>
      <c r="C71" s="16">
        <f>310</f>
        <v>310</v>
      </c>
      <c r="D71" s="5">
        <f>(B71)+(C71)</f>
        <v>620</v>
      </c>
      <c r="F71">
        <v>0.05</v>
      </c>
      <c r="I71">
        <v>0.05</v>
      </c>
      <c r="J71" t="s">
        <v>190</v>
      </c>
    </row>
    <row r="72" spans="1:4">
      <c r="A72" s="3" t="s">
        <v>103</v>
      </c>
      <c r="B72" s="5">
        <f>170.54</f>
        <v>170.54</v>
      </c>
      <c r="C72" s="16">
        <f>170.54</f>
        <v>170.54</v>
      </c>
      <c r="D72" s="5">
        <f>(B72)+(C72)</f>
        <v>341.08</v>
      </c>
      <c r="F72">
        <v>0.05</v>
      </c>
      <c r="I72">
        <v>0.05</v>
      </c>
      <c r="J72" t="s">
        <v>191</v>
      </c>
    </row>
    <row r="73" spans="1:4">
      <c r="A73" s="3" t="s">
        <v>102</v>
      </c>
      <c r="B73" s="5">
        <f>175.25</f>
        <v>175.25</v>
      </c>
      <c r="C73" s="16">
        <f>175.26</f>
        <v>175.26</v>
      </c>
      <c r="D73" s="5">
        <f>(B73)+(C73)</f>
        <v>350.51</v>
      </c>
      <c r="F73">
        <v>0.05</v>
      </c>
      <c r="I73">
        <v>0.02</v>
      </c>
      <c r="J73" t="s">
        <v>192</v>
      </c>
    </row>
    <row r="74" spans="1:4">
      <c r="A74" s="3" t="s">
        <v>101</v>
      </c>
      <c r="B74" s="5">
        <f>2149.43</f>
        <v>2149.43</v>
      </c>
      <c r="C74" s="16">
        <f>2149.43</f>
        <v>2149.43</v>
      </c>
      <c r="D74" s="5">
        <f>(B74)+(C74)</f>
        <v>4298.86</v>
      </c>
      <c r="F74">
        <v>0.05</v>
      </c>
      <c r="I74">
        <v>0.05</v>
      </c>
      <c r="J74" t="s">
        <v>193</v>
      </c>
    </row>
    <row r="75" spans="1:4">
      <c r="A75" s="3" t="s">
        <v>100</v>
      </c>
      <c r="B75" s="5">
        <f>82</f>
        <v>82</v>
      </c>
      <c r="C75" s="13">
        <f>73.25</f>
        <v>73.25</v>
      </c>
      <c r="D75" s="5">
        <f>(B75)+(C75)</f>
        <v>155.25</v>
      </c>
    </row>
    <row r="76" spans="1:4">
      <c r="A76" s="3" t="s">
        <v>99</v>
      </c>
      <c r="B76" s="7">
        <f>(((((((B68)+(B69))+(B70))+(B71))+(B72))+(B73))+(B74))+(B75)</f>
        <v>3251.16</v>
      </c>
      <c r="C76" s="7">
        <f>(((((((C68)+(C69))+(C70))+(C71))+(C72))+(C73))+(C74))+(C75)</f>
        <v>3226.27</v>
      </c>
      <c r="D76" s="7">
        <f>(B76)+(C76)</f>
        <v>6477.43</v>
      </c>
    </row>
    <row r="77" spans="1:4">
      <c r="A77" s="3" t="s">
        <v>98</v>
      </c>
      <c r="B77" s="4"/>
      <c r="C77" s="4"/>
      <c r="D77" s="5">
        <f>(B77)+(C77)</f>
        <v>0</v>
      </c>
    </row>
    <row r="78" spans="1:4">
      <c r="A78" s="3" t="s">
        <v>97</v>
      </c>
      <c r="B78" s="5">
        <f>122.45</f>
        <v>122.45</v>
      </c>
      <c r="C78" s="5">
        <f>652.88</f>
        <v>652.88</v>
      </c>
      <c r="D78" s="5">
        <f>(B78)+(C78)</f>
        <v>775.33</v>
      </c>
    </row>
    <row r="79" spans="1:4">
      <c r="A79" s="3" t="s">
        <v>96</v>
      </c>
      <c r="B79" s="7">
        <f>(B77)+(B78)</f>
        <v>122.45</v>
      </c>
      <c r="C79" s="7">
        <f>(C77)+(C78)</f>
        <v>652.88</v>
      </c>
      <c r="D79" s="7">
        <f>(B79)+(C79)</f>
        <v>775.33</v>
      </c>
    </row>
    <row r="80" spans="1:4">
      <c r="A80" s="3" t="s">
        <v>95</v>
      </c>
      <c r="B80" s="4"/>
      <c r="C80" s="4"/>
      <c r="D80" s="5">
        <f>(B80)+(C80)</f>
        <v>0</v>
      </c>
    </row>
    <row r="81" spans="1:4">
      <c r="A81" s="3" t="s">
        <v>94</v>
      </c>
      <c r="B81" s="5">
        <f>4533.5</f>
        <v>4533.5</v>
      </c>
      <c r="C81" s="15">
        <f>4111.5</f>
        <v>4111.5</v>
      </c>
      <c r="D81" s="5">
        <f>(B81)+(C81)</f>
        <v>8645</v>
      </c>
      <c r="F81">
        <v>0.05</v>
      </c>
      <c r="I81">
        <v>0.1</v>
      </c>
      <c r="J81" t="s">
        <v>194</v>
      </c>
    </row>
    <row r="82" spans="1:4">
      <c r="A82" s="3" t="s">
        <v>93</v>
      </c>
      <c r="B82" s="5">
        <f>1386.67</f>
        <v>1386.67</v>
      </c>
      <c r="C82" s="5">
        <f>1386.67</f>
        <v>1386.67</v>
      </c>
      <c r="D82" s="5">
        <f>(B82)+(C82)</f>
        <v>2773.34</v>
      </c>
    </row>
    <row r="83" spans="1:4">
      <c r="A83" s="3" t="s">
        <v>92</v>
      </c>
      <c r="B83" s="5">
        <f>1338.58</f>
        <v>1338.58</v>
      </c>
      <c r="C83" s="4"/>
      <c r="D83" s="5">
        <f>(B83)+(C83)</f>
        <v>1338.58</v>
      </c>
    </row>
    <row r="84" spans="1:4">
      <c r="A84" s="3" t="s">
        <v>91</v>
      </c>
      <c r="B84" s="5">
        <f>2287.97</f>
        <v>2287.97</v>
      </c>
      <c r="C84" s="5">
        <f>-1942.03</f>
        <v>-1942.03</v>
      </c>
      <c r="D84" s="5">
        <f>(B84)+(C84)</f>
        <v>345.94</v>
      </c>
    </row>
    <row r="85" spans="1:4">
      <c r="A85" s="3" t="s">
        <v>90</v>
      </c>
      <c r="B85" s="4"/>
      <c r="C85" s="13">
        <f>250</f>
        <v>250</v>
      </c>
      <c r="D85" s="5">
        <f>(B85)+(C85)</f>
        <v>250</v>
      </c>
    </row>
    <row r="86" spans="1:4">
      <c r="A86" s="3" t="s">
        <v>89</v>
      </c>
      <c r="B86" s="7">
        <f>(((((B80)+(B81))+(B82))+(B83))+(B84))+(B85)</f>
        <v>9546.72</v>
      </c>
      <c r="C86" s="7">
        <f>(((((C80)+(C81))+(C82))+(C83))+(C84))+(C85)</f>
        <v>3806.14</v>
      </c>
      <c r="D86" s="7">
        <f>(B86)+(C86)</f>
        <v>13352.86</v>
      </c>
    </row>
    <row r="87" spans="1:4">
      <c r="A87" s="3" t="s">
        <v>88</v>
      </c>
      <c r="B87" s="4"/>
      <c r="C87" s="4"/>
      <c r="D87" s="5">
        <f>(B87)+(C87)</f>
        <v>0</v>
      </c>
    </row>
    <row r="88" spans="1:4">
      <c r="A88" s="3" t="s">
        <v>87</v>
      </c>
      <c r="B88" s="5">
        <f>0</f>
        <v>0</v>
      </c>
      <c r="C88" s="5">
        <f>554.78</f>
        <v>554.78</v>
      </c>
      <c r="D88" s="5">
        <f>(B88)+(C88)</f>
        <v>554.78</v>
      </c>
    </row>
    <row r="89" spans="1:4">
      <c r="A89" s="3" t="s">
        <v>86</v>
      </c>
      <c r="B89" s="5">
        <f>24.76</f>
        <v>24.76</v>
      </c>
      <c r="C89" s="5">
        <f>64.15</f>
        <v>64.15</v>
      </c>
      <c r="D89" s="5">
        <f>(B89)+(C89)</f>
        <v>88.91</v>
      </c>
    </row>
    <row r="90" spans="1:4">
      <c r="A90" s="3" t="s">
        <v>85</v>
      </c>
      <c r="B90" s="5">
        <f>679.45</f>
        <v>679.45</v>
      </c>
      <c r="C90" s="16">
        <f>484.45</f>
        <v>484.45</v>
      </c>
      <c r="D90" s="5">
        <f>(B90)+(C90)</f>
        <v>1163.9</v>
      </c>
      <c r="F90">
        <v>0.15</v>
      </c>
    </row>
    <row r="91" spans="1:4">
      <c r="A91" s="3" t="s">
        <v>84</v>
      </c>
      <c r="B91" s="5">
        <f>30</f>
        <v>30</v>
      </c>
      <c r="C91" s="5">
        <f>30</f>
        <v>30</v>
      </c>
      <c r="D91" s="5">
        <f>(B91)+(C91)</f>
        <v>60</v>
      </c>
    </row>
    <row r="92" spans="1:4">
      <c r="A92" s="3" t="s">
        <v>83</v>
      </c>
      <c r="B92" s="7">
        <f>((((B87)+(B88))+(B89))+(B90))+(B91)</f>
        <v>734.21</v>
      </c>
      <c r="C92" s="7">
        <f>((((C87)+(C88))+(C89))+(C90))+(C91)</f>
        <v>1133.38</v>
      </c>
      <c r="D92" s="7">
        <f>(B92)+(C92)</f>
        <v>1867.59</v>
      </c>
    </row>
    <row r="93" spans="1:4">
      <c r="A93" s="3" t="s">
        <v>82</v>
      </c>
      <c r="B93" s="7">
        <f>((((((((((B32)+(B38))+(B43))+(B47))+(B55))+(B60))+(B67))+(B76))+(B79))+(B86))+(B92)</f>
        <v>87310.14</v>
      </c>
      <c r="C93" s="7">
        <f>((((((((((C32)+(C38))+(C43))+(C47))+(C55))+(C60))+(C67))+(C76))+(C79))+(C86))+(C92)</f>
        <v>58460.14</v>
      </c>
      <c r="D93" s="7">
        <f>(B93)+(C93)</f>
        <v>145770.28</v>
      </c>
    </row>
    <row r="94" spans="1:4">
      <c r="A94" s="3" t="s">
        <v>81</v>
      </c>
      <c r="B94" s="7">
        <f>(B22)-(B93)</f>
        <v>-2062.28999999999</v>
      </c>
      <c r="C94" s="7">
        <f>(C22)-(C93)</f>
        <v>42231.1</v>
      </c>
      <c r="D94" s="7">
        <f>(B94)+(C94)</f>
        <v>40168.81</v>
      </c>
    </row>
    <row r="95" spans="1:4">
      <c r="A95" s="3" t="s">
        <v>80</v>
      </c>
      <c r="B95" s="4"/>
      <c r="C95" s="4"/>
      <c r="D95" s="4"/>
    </row>
    <row r="96" spans="1:4">
      <c r="A96" s="3" t="s">
        <v>79</v>
      </c>
      <c r="B96" s="4"/>
      <c r="C96" s="4"/>
      <c r="D96" s="5">
        <f>(B96)+(C96)</f>
        <v>0</v>
      </c>
    </row>
    <row r="97" spans="1:4">
      <c r="A97" s="3" t="s">
        <v>78</v>
      </c>
      <c r="B97" s="4"/>
      <c r="C97" s="5">
        <f>15.14</f>
        <v>15.14</v>
      </c>
      <c r="D97" s="5">
        <f>(B97)+(C97)</f>
        <v>15.14</v>
      </c>
    </row>
    <row r="98" spans="1:4">
      <c r="A98" s="3" t="s">
        <v>77</v>
      </c>
      <c r="B98" s="5">
        <f>424.76</f>
        <v>424.76</v>
      </c>
      <c r="C98" s="5">
        <f>495.58</f>
        <v>495.58</v>
      </c>
      <c r="D98" s="5">
        <f>(B98)+(C98)</f>
        <v>920.34</v>
      </c>
    </row>
    <row r="99" spans="1:4">
      <c r="A99" s="3" t="s">
        <v>76</v>
      </c>
      <c r="B99" s="7">
        <f>((B96)+(B97))+(B98)</f>
        <v>424.76</v>
      </c>
      <c r="C99" s="7">
        <f>((C96)+(C97))+(C98)</f>
        <v>510.72</v>
      </c>
      <c r="D99" s="7">
        <f>(B99)+(C99)</f>
        <v>935.48</v>
      </c>
    </row>
    <row r="100" spans="1:4">
      <c r="A100" s="3" t="s">
        <v>75</v>
      </c>
      <c r="B100" s="7">
        <f>B99</f>
        <v>424.76</v>
      </c>
      <c r="C100" s="7">
        <f>C99</f>
        <v>510.72</v>
      </c>
      <c r="D100" s="7">
        <f>(B100)+(C100)</f>
        <v>935.48</v>
      </c>
    </row>
    <row r="101" spans="1:4">
      <c r="A101" s="3" t="s">
        <v>74</v>
      </c>
      <c r="B101" s="4"/>
      <c r="C101" s="4"/>
      <c r="D101" s="4"/>
    </row>
    <row r="102" spans="1:4">
      <c r="A102" s="3" t="s">
        <v>73</v>
      </c>
      <c r="B102" s="4"/>
      <c r="C102" s="4"/>
      <c r="D102" s="5">
        <f>(B102)+(C102)</f>
        <v>0</v>
      </c>
    </row>
    <row r="103" spans="1:4">
      <c r="A103" s="3" t="s">
        <v>72</v>
      </c>
      <c r="B103" s="5">
        <f>113.02</f>
        <v>113.02</v>
      </c>
      <c r="C103" s="13">
        <f>113.02</f>
        <v>113.02</v>
      </c>
      <c r="D103" s="5">
        <f>(B103)+(C103)</f>
        <v>226.04</v>
      </c>
    </row>
    <row r="104" spans="1:4">
      <c r="A104" s="3" t="s">
        <v>71</v>
      </c>
      <c r="B104" s="7">
        <f>(B102)+(B103)</f>
        <v>113.02</v>
      </c>
      <c r="C104" s="7">
        <f>(C102)+(C103)</f>
        <v>113.02</v>
      </c>
      <c r="D104" s="7">
        <f>(B104)+(C104)</f>
        <v>226.04</v>
      </c>
    </row>
    <row r="105" spans="1:4">
      <c r="A105" s="3" t="s">
        <v>70</v>
      </c>
      <c r="B105" s="5">
        <f>0</f>
        <v>0</v>
      </c>
      <c r="C105" s="5">
        <f>0</f>
        <v>0</v>
      </c>
      <c r="D105" s="5">
        <f>(B105)+(C105)</f>
        <v>0</v>
      </c>
    </row>
    <row r="106" spans="1:4">
      <c r="A106" s="3" t="s">
        <v>69</v>
      </c>
      <c r="B106" s="7">
        <f>(B104)+(B105)</f>
        <v>113.02</v>
      </c>
      <c r="C106" s="7">
        <f>(C104)+(C105)</f>
        <v>113.02</v>
      </c>
      <c r="D106" s="7">
        <f>(B106)+(C106)</f>
        <v>226.04</v>
      </c>
    </row>
    <row r="107" spans="1:4">
      <c r="A107" s="3" t="s">
        <v>68</v>
      </c>
      <c r="B107" s="7">
        <f>(B100)-(B106)</f>
        <v>311.74</v>
      </c>
      <c r="C107" s="7">
        <f>(C100)-(C106)</f>
        <v>397.7</v>
      </c>
      <c r="D107" s="7">
        <f>(B107)+(C107)</f>
        <v>709.44</v>
      </c>
    </row>
    <row r="108" spans="1:4">
      <c r="A108" s="3" t="s">
        <v>67</v>
      </c>
      <c r="B108" s="7">
        <f>(B94)+(B107)</f>
        <v>-1750.54999999999</v>
      </c>
      <c r="C108" s="7">
        <f>(C94)+(C107)</f>
        <v>42628.8</v>
      </c>
      <c r="D108" s="7">
        <f>(B108)+(C108)</f>
        <v>40878.25</v>
      </c>
    </row>
    <row r="109" spans="1:4">
      <c r="A109" s="3"/>
      <c r="B109" s="4"/>
      <c r="C109" s="4"/>
      <c r="D109" s="4"/>
    </row>
    <row r="112" spans="1:4">
      <c r="A112" s="8" t="s">
        <v>66</v>
      </c>
      <c r="B112" s="9"/>
      <c r="C112" s="9"/>
      <c r="D112" s="9"/>
    </row>
  </sheetData>
  <mergeCells count="4">
    <mergeCell ref="A112:D112"/>
    <mergeCell ref="A1:D1"/>
    <mergeCell ref="A2:D2"/>
    <mergeCell ref="A3:D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Balance Sheet</vt:lpstr>
      <vt:lpstr>Profit and Loss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Nikki Dela Cruz</cp:lastModifiedBy>
  <dcterms:created xsi:type="dcterms:W3CDTF">2026-03-27T15:44:42Z</dcterms:created>
  <dcterms:modified xsi:type="dcterms:W3CDTF">2026-03-27T15:46:49Z</dcterms:modified>
</cp:coreProperties>
</file>