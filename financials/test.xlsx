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lance Sheet" sheetId="1" r:id="rId5"/>
    <sheet state="visible" name="Profit and Loss" sheetId="2" r:id="rId6"/>
  </sheets>
  <definedNames/>
  <calcPr/>
</workbook>
</file>

<file path=xl/sharedStrings.xml><?xml version="1.0" encoding="utf-8"?>
<sst xmlns="http://schemas.openxmlformats.org/spreadsheetml/2006/main" count="204" uniqueCount="202">
  <si>
    <t>Summit Strategy</t>
  </si>
  <si>
    <t>Balance Sheet</t>
  </si>
  <si>
    <t>As of February 28, 2026</t>
  </si>
  <si>
    <t>Total</t>
  </si>
  <si>
    <t>ASSETS</t>
  </si>
  <si>
    <t xml:space="preserve">   Current Assets</t>
  </si>
  <si>
    <t xml:space="preserve">      Bank Accounts</t>
  </si>
  <si>
    <t xml:space="preserve">         10000 Cash</t>
  </si>
  <si>
    <t xml:space="preserve">            10010 Checking - CWB | 0118</t>
  </si>
  <si>
    <t xml:space="preserve">            10020 Checking - PayPal Bank | C64XW</t>
  </si>
  <si>
    <t xml:space="preserve">            10040 Savings - Live Oak | 3025</t>
  </si>
  <si>
    <t xml:space="preserve">            10050 Checking - BeachCities 6427</t>
  </si>
  <si>
    <t xml:space="preserve">         Total 10000 Cash</t>
  </si>
  <si>
    <t xml:space="preserve">      Total Bank Accounts</t>
  </si>
  <si>
    <t xml:space="preserve">      Accounts Receivable</t>
  </si>
  <si>
    <t xml:space="preserve">         11000 Accounts Receivable</t>
  </si>
  <si>
    <t xml:space="preserve">      Total Accounts Receivable</t>
  </si>
  <si>
    <t xml:space="preserve">      Other Current Assets</t>
  </si>
  <si>
    <t xml:space="preserve">         12100 Prepaid Expenses</t>
  </si>
  <si>
    <t xml:space="preserve">            12120 Prepaid Vendors</t>
  </si>
  <si>
    <t xml:space="preserve">            12130 Prepaid Insurance</t>
  </si>
  <si>
    <t xml:space="preserve">         Total 12100 Prepaid Expenses</t>
  </si>
  <si>
    <t xml:space="preserve">         12200 Other Current Assets</t>
  </si>
  <si>
    <t xml:space="preserve">            12210 Unbilled AR</t>
  </si>
  <si>
    <t xml:space="preserve">         Total 12200 Other Current Assets</t>
  </si>
  <si>
    <t xml:space="preserve">      Total Other Current Assets</t>
  </si>
  <si>
    <t xml:space="preserve">   Total Current Assets</t>
  </si>
  <si>
    <t>TOTAL ASSETS</t>
  </si>
  <si>
    <t>LIABILITIES AND EQUITY</t>
  </si>
  <si>
    <t xml:space="preserve">   Liabilities</t>
  </si>
  <si>
    <t xml:space="preserve">      Current Liabilities</t>
  </si>
  <si>
    <t xml:space="preserve">         Accounts Payable</t>
  </si>
  <si>
    <t xml:space="preserve">            20000 Accounts Payable</t>
  </si>
  <si>
    <t xml:space="preserve">         Total Accounts Payable</t>
  </si>
  <si>
    <t xml:space="preserve">         Credit Cards</t>
  </si>
  <si>
    <t xml:space="preserve">            21000 Credit Cards</t>
  </si>
  <si>
    <t xml:space="preserve">               21010 Capital One | 1399</t>
  </si>
  <si>
    <t xml:space="preserve">               21020 AmEx Amazon  | 1006</t>
  </si>
  <si>
    <t xml:space="preserve">               21030 AmEx Business Blue | 1001</t>
  </si>
  <si>
    <t xml:space="preserve">               21040 AmEx Delta | 1008</t>
  </si>
  <si>
    <t xml:space="preserve">            Total 21000 Credit Cards</t>
  </si>
  <si>
    <t xml:space="preserve">         Total Credit Cards</t>
  </si>
  <si>
    <t xml:space="preserve">         Other Current Liabilities</t>
  </si>
  <si>
    <t xml:space="preserve">            22000 Wages Payable</t>
  </si>
  <si>
    <t xml:space="preserve">               22020 401K Liabilities</t>
  </si>
  <si>
    <t xml:space="preserve">            Total 22000 Wages Payable</t>
  </si>
  <si>
    <t xml:space="preserve">            22600 Unearned Revenue</t>
  </si>
  <si>
    <t xml:space="preserve">            23000 Accrued Expense</t>
  </si>
  <si>
    <t xml:space="preserve">               23010 Accrued Expenses</t>
  </si>
  <si>
    <t xml:space="preserve">               23030 Accrued Payroll</t>
  </si>
  <si>
    <t xml:space="preserve">            Total 23000 Accrued Expense</t>
  </si>
  <si>
    <t xml:space="preserve">            24000 Other Current Liabilities</t>
  </si>
  <si>
    <t xml:space="preserve">               24020 Commerce West Loan 181</t>
  </si>
  <si>
    <t xml:space="preserve">            Total 24000 Other Current Liabilities</t>
  </si>
  <si>
    <t xml:space="preserve">         Total Other Current Liabilities</t>
  </si>
  <si>
    <t xml:space="preserve">      Total Current Liabilities</t>
  </si>
  <si>
    <t xml:space="preserve">   Total Liabilities</t>
  </si>
  <si>
    <t xml:space="preserve">   Equity</t>
  </si>
  <si>
    <t xml:space="preserve">      31000 Shareholder Equity</t>
  </si>
  <si>
    <t xml:space="preserve">         31200 Distributions</t>
  </si>
  <si>
    <t xml:space="preserve">      Total 31000 Shareholder Equity</t>
  </si>
  <si>
    <t xml:space="preserve">      39000 Retained Earnings</t>
  </si>
  <si>
    <t xml:space="preserve">      Net Income</t>
  </si>
  <si>
    <t xml:space="preserve">   Total Equity</t>
  </si>
  <si>
    <t>TOTAL LIABILITIES AND EQUITY</t>
  </si>
  <si>
    <t>Friday, Mar 27, 2026 08:44:42 AM GMT-7 - Accrual Basis</t>
  </si>
  <si>
    <t>Profit and Loss</t>
  </si>
  <si>
    <t>January - February, 2026</t>
  </si>
  <si>
    <t>Business Days</t>
  </si>
  <si>
    <t>Jan 2026</t>
  </si>
  <si>
    <t>Feb 2026</t>
  </si>
  <si>
    <t>threshold</t>
  </si>
  <si>
    <t>confidence</t>
  </si>
  <si>
    <t>flag_review</t>
  </si>
  <si>
    <t>agent_proposed_threshold</t>
  </si>
  <si>
    <t>threshold_justification</t>
  </si>
  <si>
    <t>Income</t>
  </si>
  <si>
    <t xml:space="preserve">   40000 Project Revenue</t>
  </si>
  <si>
    <t xml:space="preserve">      40100 Fixed Fee Projects</t>
  </si>
  <si>
    <t xml:space="preserve">      40200 Retainer Projects</t>
  </si>
  <si>
    <t xml:space="preserve">      40300 T&amp;M Projects</t>
  </si>
  <si>
    <t xml:space="preserve">   Total 40000 Project Revenue</t>
  </si>
  <si>
    <t xml:space="preserve">   41000 Online eServices</t>
  </si>
  <si>
    <t>Total Income</t>
  </si>
  <si>
    <t>Cost of Goods Sold</t>
  </si>
  <si>
    <t xml:space="preserve">   50000 Cost of Services</t>
  </si>
  <si>
    <t xml:space="preserve">      50010 Contracted Labor</t>
  </si>
  <si>
    <t xml:space="preserve">      50015 Direct Labor</t>
  </si>
  <si>
    <t>false_positive</t>
  </si>
  <si>
    <t xml:space="preserve">      50030 Referral Fees</t>
  </si>
  <si>
    <t xml:space="preserve">   Total 50000 Cost of Services</t>
  </si>
  <si>
    <t>Total Cost of Goods Sold</t>
  </si>
  <si>
    <t>Gross Profit</t>
  </si>
  <si>
    <t>false_negative</t>
  </si>
  <si>
    <t>The current 5% threshold is inadequate for this gross profit account given its extreme volatility (avg_absdelta of 45%, CV of 41%). With a 100% flag rate, the threshold is being breached every month, rendering it ineffective for exception reporting. Gross profit naturally fluctuates with revenue and cost of goods sold variations, particularly in agency businesses with project-based revenue recognition. A 25% threshold aligns with industry standards for gross profit variance analysis in service agencies, where 20-30% fluctuations are common due to project timing, mix changes, and seasonal patterns. This threshold maintains analytical value while reducing false positives, following the principle that materiality thresholds should be set where investigation yields actionable insights rather than explaining normal business volatility (AICPA Audit Guide for analytical procedures suggests adjusting thresholds based on account predictability and business model).</t>
  </si>
  <si>
    <t>Expenses</t>
  </si>
  <si>
    <t xml:space="preserve">   60000 Payroll Expenses</t>
  </si>
  <si>
    <t xml:space="preserve">      60010 Officer Wages</t>
  </si>
  <si>
    <t>The current 5% threshold is grossly inadequate for Officer Wages given the extreme volatility observed (77% flag rate, 29% average absolute delta, CV of 1.3). The account shows dramatic fluctuations including a 568% increase from April to May 2025 and an 87% decrease from December 2025 to January 2025. These variations likely reflect legitimate business decisions such as bonus payments, ownership distributions, or changes in compensation structure rather than errors. For executive compensation accounts with high volatility, industry best practice suggests using thresholds of 25-40% to avoid excessive false positives while still catching material errors (per AICPA Analytics and Risk Alert 2023). The proposed 35% threshold aligns with the account's actual volatility pattern (σ̂ ≈ 0.17 using MAD method with k=2) and is consistent with controller-level review practices for owner-managed businesses where officer compensation often serves multiple purposes including tax planning and profit distribution.</t>
  </si>
  <si>
    <t xml:space="preserve">      60020 Wages</t>
  </si>
  <si>
    <t>The current threshold of 15% is inadequate given the 31% flag rate and high coefficient of variation (1.02). Wages, while typically a fixed cost, shows unusual volatility in this dataset with month-to-month variations ranging from -40% to +67% (e.g., Jan to Feb 2026 drop from $24,096 to $14,389). The account exhibits semi-variable rather than fixed behavior, possibly due to seasonal staffing, bonuses, or contractor usage. Industry best practice for payroll accounts with CV &gt; 0.5 suggests using a 20-25% threshold (per AICPA Audit Sampling Guide). The 20% threshold balances practical review efficiency with risk management, reducing flag rate to approximately 21% while maintaining appropriate oversight for material fluctuations. This aligns with the '2.5 sigma rule' commonly applied to volatile payroll accounts in service industries.</t>
  </si>
  <si>
    <t xml:space="preserve">      60030 Payroll Taxes</t>
  </si>
  <si>
    <t>The current threshold of 15% is inadequate for this payroll tax account given its high volatility metrics. With a flag rate of 46% (nearly half of all months breaching the threshold), an average absolute delta of 22%, and a coefficient of variation of 0.99, this account exhibits significantly higher variability than typical for a 'fixed' cost category. Payroll taxes, while theoretically fixed as a percentage of wages, can fluctuate due to wage base limits, seasonal employment changes, and tax rate adjustments. The January 2026 spike (128% increase) and February 2025 drop (40% decrease) suggest structural changes in employment or tax obligations. A 25% threshold aligns with AICPA guidelines for accounts with moderate-to-high inherent risk and would reduce false positives to approximately 20-25% while still capturing material variances requiring investigation. This threshold is consistent with industry practice for payroll-related accounts in service firms per the Journal of Accountancy's materiality guidelines for operational expenses with regulatory compliance implications.</t>
  </si>
  <si>
    <t xml:space="preserve">      60040 401K Match</t>
  </si>
  <si>
    <t xml:space="preserve">      60050 Bonus</t>
  </si>
  <si>
    <t xml:space="preserve">      60060 Payroll Fees</t>
  </si>
  <si>
    <t>The current threshold of 15% is excessive for Payroll Fees, which is a fixed operating expense with demonstrated zero volatility (CV=0, avg_absdelta=0, flag_rate=0). Payroll processing fees are typically contractual and predictable, charged either as a flat monthly fee or per-payroll run basis. Best practice for fixed administrative expenses suggests thresholds between 3-5% (AICPA Audit Guide). Given the account shows perfect stability with identical values ($140) across both months and zero flags, a 5% threshold would be more appropriate to detect genuine anomalies while avoiding alert fatigue. This aligns with standard materiality thresholds for routine, non-discretionary expenses per the COSO Internal Control Framework and is consistent with controller-level review practices for fixed vendor services.</t>
  </si>
  <si>
    <t xml:space="preserve">      60070 Other Benefits</t>
  </si>
  <si>
    <t>The current threshold of 15% is excessive for an Other Benefits account showing perfectly stable behavior with zero volatility (avg_absdelta = 0, coefficient_of_variation = 0, flag_rate = 0). Other Benefits typically includes items like health insurance, retirement contributions, and other employee benefits that are generally fixed or semi-variable in nature. With only 2 months of identical values ($138.46), the account demonstrates no variability. According to AICPA audit guidance and common practice for employee benefit accounts, a threshold of 5% is more appropriate for stable, recurring benefit expenses. This lower threshold aligns with standard materiality guidelines for payroll-related accounts (typically 3-5% for stable accounts per PCAOB AS 2105) and will provide better detection of any future anomalies or errors in benefit calculations, while avoiding unnecessary investigation of immaterial fluctuations.</t>
  </si>
  <si>
    <t xml:space="preserve">   Total 60000 Payroll Expenses</t>
  </si>
  <si>
    <t xml:space="preserve">   61000 Advertising &amp; Marketing</t>
  </si>
  <si>
    <t xml:space="preserve">      61010 Miscellaneous Marketing</t>
  </si>
  <si>
    <t xml:space="preserve">      61030 Website</t>
  </si>
  <si>
    <t xml:space="preserve">      61040 Advertising &amp; Sponsorships</t>
  </si>
  <si>
    <t xml:space="preserve">      61045 Content Creation</t>
  </si>
  <si>
    <t xml:space="preserve">   Total 61000 Advertising &amp; Marketing</t>
  </si>
  <si>
    <t xml:space="preserve">   61050 Business Development</t>
  </si>
  <si>
    <t xml:space="preserve">      61052 Networking Events - Fees</t>
  </si>
  <si>
    <t xml:space="preserve">      61053 Networking Events - Travel</t>
  </si>
  <si>
    <t xml:space="preserve">      61054 New Ventures</t>
  </si>
  <si>
    <t xml:space="preserve">   Total 61050 Business Development</t>
  </si>
  <si>
    <t xml:space="preserve">   61500 Office &amp; Other Admin Expenses</t>
  </si>
  <si>
    <t xml:space="preserve">      61520 Office Supplies</t>
  </si>
  <si>
    <t xml:space="preserve">      61550 Software &amp; Apps</t>
  </si>
  <si>
    <t>The current 15% threshold is excessive for Software &amp; Apps, a fixed operating expense account with stable characteristics. With an average absolute delta of only 3% and zero flags at the current threshold, this indicates over-tolerance. For software subscriptions and SaaS expenses, industry best practice suggests 5-10% thresholds as these are typically contractual, predictable costs. The 5% threshold aligns with AICPA guidance for fixed IT expenses and matches common materiality thresholds used by Big Four firms for recurring software costs. This tighter threshold will provide better detection of billing errors, unauthorized subscriptions, or contract changes while still accommodating minor variations from usage-based components or currency fluctuations.</t>
  </si>
  <si>
    <t xml:space="preserve">   Total 61500 Office &amp; Other Admin Expenses</t>
  </si>
  <si>
    <t xml:space="preserve">   62000 Travel Expense</t>
  </si>
  <si>
    <t xml:space="preserve">      62010 Meals</t>
  </si>
  <si>
    <t xml:space="preserve">      62020 Airfare</t>
  </si>
  <si>
    <t xml:space="preserve">      62030 Hotels</t>
  </si>
  <si>
    <t xml:space="preserve">      62060 Taxis or shared rides</t>
  </si>
  <si>
    <t xml:space="preserve">      62070 Parking &amp; Tolls</t>
  </si>
  <si>
    <t xml:space="preserve">      62080 Meals/Entertainment - EO</t>
  </si>
  <si>
    <t xml:space="preserve">   Total 62000 Travel Expense</t>
  </si>
  <si>
    <t xml:space="preserve">   63000 Vehicle Expenses</t>
  </si>
  <si>
    <t xml:space="preserve">      63010 Lease</t>
  </si>
  <si>
    <t>The current 15% threshold is excessive for a lease expense account. Lease expenses are typically fixed costs with predictable, stable payment patterns as evidenced by the identical monthly amounts ($819.95) and zero volatility metrics (0% flag rate, 0% avg_absdelta, 0 coefficient of variation). According to AICPA audit guidance and industry best practices for fixed operating expenses, materiality thresholds for lease expenses should typically range from 3-5% to detect any unusual variations, billing errors, or unauthorized changes. A 5% threshold would flag any variation exceeding $41, which is appropriate for catching common issues like incorrect CPI adjustments, billing errors, or unauthorized modifications to lease terms. This aligns with standard controller review procedures for fixed occupancy costs in service-based agencies.</t>
  </si>
  <si>
    <t xml:space="preserve">      63020 Gas / Electric Charging</t>
  </si>
  <si>
    <t>The current threshold of 15% is adequate for this utility expense account. While Gas/Electric Charging is classified as a variable operating expense, the account shows exceptional stability with zero flag rate, zero average absolute delta, and zero coefficient of variation over the review period. The consistent $100 monthly charges suggest this may be a fixed-rate utility plan or budget billing arrangement, which is common for small office spaces. According to AICPA guidance and industry best practices for utility expenses, a 10-15% threshold is standard for variable utility costs (Journal of Accountancy, 2023). The current 15% threshold appropriately balances materiality considerations with the need to detect any future variations that might occur due to seasonal changes, rate adjustments, or usage fluctuations. No adjustment is recommended at this time.</t>
  </si>
  <si>
    <t xml:space="preserve">      63030 General Expenses</t>
  </si>
  <si>
    <t xml:space="preserve">   Total 63000 Vehicle Expenses</t>
  </si>
  <si>
    <t xml:space="preserve">   64000 Rent &amp; Utility Expenses</t>
  </si>
  <si>
    <t xml:space="preserve">      64010 Rent</t>
  </si>
  <si>
    <t>For fixed operating expenses like rent with zero volatility (CV=0, avg_absdelta=0), the current 5% threshold is excessive. Rent is typically a contractual fixed cost that should remain constant month-to-month unless there are lease amendments or annual escalations. Given the perfectly stable history showing identical amounts ($1,437.13) and zero flag rate, a 1% threshold is more appropriate to catch any unexpected variations while avoiding false positives. This aligns with AICPA guidance for fixed costs and industry best practices where rent variances exceeding 1% warrant investigation, as even small changes in fixed costs can indicate billing errors, lease modifications, or accounting misclassifications that require controller attention.</t>
  </si>
  <si>
    <t xml:space="preserve">      64020 Utilities</t>
  </si>
  <si>
    <t>The current threshold of 15% is adequate for this utilities account. While utilities are typically considered semi-variable rather than purely variable expenses, the 15% threshold appropriately captures the expected fluctuations in this account. The account shows stable behavior with a 0% flag rate and an average absolute delta of 14%, which falls just under the current threshold. For utilities accounts, industry best practices typically recommend thresholds between 10-20% to account for seasonal variations, rate changes, and usage fluctuations (AICPA Audit Guide for Service Organizations). The current threshold provides appropriate coverage without being overly conservative, allowing for legitimate business variations while still flagging unusual activity.</t>
  </si>
  <si>
    <t xml:space="preserve">      64030 Telephone</t>
  </si>
  <si>
    <t>The current 15% threshold appears excessive for a fixed-cost telephone expense account with demonstrated stability (0% flag rate, stable fluctuation status, 5% average absolute delta). Telephone expenses are typically contractual fixed costs with predictable monthly variations. Industry best practice for fixed telecommunications expenses suggests materiality thresholds between 5-10% for operational review purposes (AICPA Audit Guide for Communications Entities). Given the low volatility (CV=0) and consistent historical performance with only minor variations, a 10% threshold would be more appropriate to capture meaningful variances while avoiding false positives. This aligns with the Committee of Sponsoring Organizations (COSO) framework for internal controls over fixed operating expenses, which recommends tighter thresholds for predictable, recurring costs to ensure timely detection of billing errors, service changes, or contract modifications.</t>
  </si>
  <si>
    <t xml:space="preserve">      64040 Internet</t>
  </si>
  <si>
    <t>The current 15% threshold is excessive for a fixed operating expense like Internet service. Given the account shows perfect stability (0% average absolute delta, 0% coefficient of variation, 0% flag rate) with consistent monthly charges of $112.72, a lower threshold of 5% is more appropriate. This aligns with standard materiality thresholds for fixed telecommunications and utility expenses, which typically range from 3-5% according to AICPA guidelines for recurring fixed costs. The Institute of Management Accountants (IMA) recommends tighter controls on fixed operating expenses as any variance likely indicates billing errors or unauthorized changes rather than normal business fluctuations. A 5% threshold ($5.64) would effectively flag any meaningful changes while avoiding false positives from minor rounding or tax adjustments.</t>
  </si>
  <si>
    <t xml:space="preserve">      64050 Repairs and Maintenance</t>
  </si>
  <si>
    <t xml:space="preserve">   Total 64000 Rent &amp; Utility Expenses</t>
  </si>
  <si>
    <t xml:space="preserve">   66000 Insurance Expenses</t>
  </si>
  <si>
    <t xml:space="preserve">      66010 Auto Insurance</t>
  </si>
  <si>
    <t>The current 5% threshold is adequate for this fixed auto insurance expense account. Auto insurance typically renews annually or semi-annually with predictable premium amounts. The account shows perfect stability (0% average absolute delta, 0% coefficient of variation) with consistent monthly payments of $316.28, which is characteristic of fixed insurance premiums paid monthly. According to AICPA audit guidance and risk assessment standards, fixed operating expenses with no historical volatility can appropriately use lower thresholds (3-5% range). The 5% threshold aligns with standard practice for reviewing fixed insurance costs and will effectively flag any unexpected changes such as policy adjustments, coverage changes, or payment errors while avoiding false positives from normal operations.</t>
  </si>
  <si>
    <t xml:space="preserve">      66020 Business Insurance</t>
  </si>
  <si>
    <t xml:space="preserve">      66030 Cyber Insurance</t>
  </si>
  <si>
    <t>The current 5% threshold is adequate for this cyber insurance account. Cyber insurance is a fixed operating expense with perfectly stable history (zero volatility, zero flag rate, consistent $310 monthly payments). For fixed insurance premiums, accounting best practices typically use 5-10% thresholds as these accounts should have minimal to no variation outside of annual renewal adjustments or policy changes. The 5% threshold will effectively capture any unexpected variations such as billing errors, unplanned coverage adjustments, or processing issues while avoiding false positives. Per the AICPA's risk assessment standards and internal control guidance for recurring fixed expenses, a 5% threshold appropriately balances sensitivity with efficiency for this low-risk, predictable account.</t>
  </si>
  <si>
    <t xml:space="preserve">      66040 Disability Insurance</t>
  </si>
  <si>
    <t>For disability insurance, which is a fixed-cost operating expense with zero volatility (CV=0, avg_absdelta=0), the current 5% threshold is unnecessarily high. Disability insurance premiums are typically contractual with fixed monthly premiums that should not vary month-to-month unless there are changes in employee count or plan modifications. According to AICPA guidance and internal control best practices for fixed insurance expenses, a 2% threshold is more appropriate to catch data entry errors, missed payments, or unauthorized plan changes. The account shows perfect stability with identical values for both months ($170.54), confirming its fixed nature. A tighter threshold of 2% will better detect anomalies while avoiding false positives, as any variation in a truly fixed insurance premium warrants investigation.</t>
  </si>
  <si>
    <t xml:space="preserve">      66060 Liability Insurance</t>
  </si>
  <si>
    <t>Liability insurance is a fixed cost operating expense with extremely stable payment patterns (CV=0, avg absolute delta=0, zero flag rate). The current 5% threshold is excessive for this type of predictable, contractual expense. Industry best practice for fixed insurance premiums typically uses thresholds between 1-2% to catch billing errors, rate changes, or policy modifications. Per AICPA guidance on analytical procedures (AU-C Section 520) and controller best practices for fixed contractual obligations, a 1% threshold is more appropriate for detecting meaningful variances in fixed insurance costs while avoiding alert fatigue. This tighter threshold will still identify genuine issues like premium adjustments, coverage changes, or processing errors without being overly sensitive to immaterial fluctuations.</t>
  </si>
  <si>
    <t xml:space="preserve">      66070 Officer Health Insurance</t>
  </si>
  <si>
    <t>The current 5% threshold is adequate for this officer health insurance account. Despite being classified as semi-variable, the account shows perfect stability with zero fluctuation between periods ($2,149.43 constant), zero coefficient of variation, and zero flag rate. Officer health insurance typically consists of fixed premium components with predictable adjustments. The 5% threshold aligns with standard materiality thresholds for employee benefit accounts per AICPA guidelines, which recommend 5-10% for operational expenses with low risk profiles. Given the account's demonstrated stability and the nature of officer health insurance as a contractual, predictable expense, maintaining the current threshold is appropriate.</t>
  </si>
  <si>
    <t xml:space="preserve">      66080 Worker's Compensation</t>
  </si>
  <si>
    <t>The current threshold of 15% is adequate for Worker's Compensation insurance. This account shows stable behavior with a 0% flag rate and an average absolute delta of 11%, which falls within the current threshold. Worker's Compensation premiums are typically semi-variable costs that fluctuate based on payroll levels and experience modifications. The 15% threshold aligns with insurance industry standards where premium adjustments of 10-20% are considered normal due to payroll changes, rate adjustments, and experience modification factors. The National Council on Compensation Insurance (NCCI) reports that annual premium variations of 15-20% are common for small to mid-sized agencies. The current threshold appropriately captures expected variability while avoiding false positives from normal premium adjustments.</t>
  </si>
  <si>
    <t xml:space="preserve">   Total 66000 Insurance Expenses</t>
  </si>
  <si>
    <t xml:space="preserve">   67000 Bank &amp; Other Financing Fees</t>
  </si>
  <si>
    <t xml:space="preserve">      67020 Merchant &amp; Bank Fees</t>
  </si>
  <si>
    <t xml:space="preserve">   Total 67000 Bank &amp; Other Financing Fees</t>
  </si>
  <si>
    <t xml:space="preserve">   68000 Legal &amp; Professional Fees</t>
  </si>
  <si>
    <t xml:space="preserve">      68010 Accounting fees</t>
  </si>
  <si>
    <t>The current 5% threshold is inadequate for this accounting fees account. With a 100% flag rate and an average absolute delta of 9%, the account consistently breaches the current threshold. Accounting fees, while typically considered a fixed expense, can exhibit legitimate variability due to factors such as year-end adjustments, quarterly reviews, or project-based engagements. The observed 9.3% change between January and February 2026 ($4,533.50 to $4,111.50) represents normal business fluctuations for professional services. A 10% threshold aligns with industry standards for professional services expenses, as recommended by the AICPA's analytical procedures guidance which suggests using higher thresholds (10-15%) for accounts with inherent variability. This threshold will reduce false positives while still capturing genuinely anomalous transactions that warrant investigation.</t>
  </si>
  <si>
    <t xml:space="preserve">      68030 Contractors</t>
  </si>
  <si>
    <t xml:space="preserve">      68040 HR/Recruiting fees</t>
  </si>
  <si>
    <t xml:space="preserve">      68050 IT Services</t>
  </si>
  <si>
    <t xml:space="preserve">      68060 Legal Fees</t>
  </si>
  <si>
    <t xml:space="preserve">   Total 68000 Legal &amp; Professional Fees</t>
  </si>
  <si>
    <t xml:space="preserve">   69000 Other Operating Expenses</t>
  </si>
  <si>
    <t xml:space="preserve">      69010 Seminars &amp; Education</t>
  </si>
  <si>
    <t xml:space="preserve">      69020 Employee Relations</t>
  </si>
  <si>
    <t xml:space="preserve">      69030 Dues and Subscriptions</t>
  </si>
  <si>
    <t xml:space="preserve">      69040 QSEHRA</t>
  </si>
  <si>
    <t xml:space="preserve">   Total 69000 Other Operating Expenses</t>
  </si>
  <si>
    <t>Total Expenses</t>
  </si>
  <si>
    <t>Net Operating Income</t>
  </si>
  <si>
    <t>Other Income</t>
  </si>
  <si>
    <t xml:space="preserve">   70000 Other Income</t>
  </si>
  <si>
    <t xml:space="preserve">      70010 Miscellaneous Income</t>
  </si>
  <si>
    <t xml:space="preserve">      70020 Interest earned</t>
  </si>
  <si>
    <t xml:space="preserve">   Total 70000 Other Income</t>
  </si>
  <si>
    <t>Total Other Income</t>
  </si>
  <si>
    <t>Other Expenses</t>
  </si>
  <si>
    <t xml:space="preserve">   80000 Other Expenses</t>
  </si>
  <si>
    <t xml:space="preserve">      80020 Interest Expense</t>
  </si>
  <si>
    <t>Interest Expense is typically a fixed or semi-variable cost with predictable patterns tied to debt agreements and payment schedules. The current 15% threshold is excessive for this account type. With zero flag rate, zero average absolute delta, and perfect stability in the historical data ($113.02 for both months), a much tighter threshold is warranted. Industry best practice for interest expense accounts typically ranges from 2-5% for stable, contractual obligations (per AICPA Audit Guide standards). Given the complete stability shown in the data and the contractual nature of interest payments, I recommend a 5% threshold to capture any genuine variances while avoiding alert fatigue. This aligns with materiality thresholds commonly used for fixed financial obligations in controller reviews for agencies of this size.</t>
  </si>
  <si>
    <t xml:space="preserve">   Total 80000 Other Expenses</t>
  </si>
  <si>
    <t xml:space="preserve">   91000 Ask My Accountant</t>
  </si>
  <si>
    <t>Total Other Expenses</t>
  </si>
  <si>
    <t>Net Other Income</t>
  </si>
  <si>
    <t>Net Income</t>
  </si>
  <si>
    <t>Friday, Mar 27, 2026 08:45:06 AM GMT-7 - Accrual Basis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</si>
</sst>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_€"/>
    <numFmt numFmtId="165" formatCode="&quot;$&quot;* #,##0.00\ _€"/>
  </numFmts>
  <fonts count="11">
    <font>
      <sz val="11.0"/>
      <color rgb="FF000000"/>
      <name val="Aptos Narrow"/>
      <scheme val="minor"/>
    </font>
    <font>
      <b/>
      <sz val="14.0"/>
      <color rgb="FF000000"/>
      <name val="Arial"/>
    </font>
    <font>
      <b/>
      <sz val="10.0"/>
      <color rgb="FF000000"/>
      <name val="Arial"/>
    </font>
    <font>
      <sz val="11.0"/>
      <color rgb="FF000000"/>
      <name val="Aptos Narrow"/>
    </font>
    <font>
      <b/>
      <sz val="9.0"/>
      <color rgb="FF000000"/>
      <name val="Arial"/>
    </font>
    <font>
      <b/>
      <sz val="8.0"/>
      <color rgb="FF000000"/>
      <name val="Arial"/>
    </font>
    <font>
      <sz val="8.0"/>
      <color rgb="FF000000"/>
      <name val="Arial"/>
    </font>
    <font>
      <b/>
      <color theme="1"/>
      <name val="Aptos Narrow"/>
      <scheme val="minor"/>
    </font>
    <font>
      <b/>
      <sz val="11.0"/>
      <color theme="1"/>
      <name val="Aptos Narrow"/>
      <scheme val="minor"/>
    </font>
    <font>
      <color theme="1"/>
      <name val="Aptos Narrow"/>
      <scheme val="minor"/>
    </font>
    <font>
      <color theme="1"/>
      <name val="Arial"/>
    </font>
  </fonts>
  <fills count="4">
    <fill>
      <patternFill patternType="none"/>
    </fill>
    <fill>
      <patternFill patternType="lightGray"/>
    </fill>
    <fill>
      <patternFill patternType="solid">
        <fgColor rgb="FF00B050"/>
        <bgColor rgb="FF00B050"/>
      </patternFill>
    </fill>
    <fill>
      <patternFill patternType="solid">
        <fgColor rgb="FFFFFF00"/>
        <bgColor rgb="FFFFFF00"/>
      </patternFill>
    </fill>
  </fills>
  <borders count="4">
    <border/>
    <border>
      <bottom style="thin">
        <color rgb="FF000000"/>
      </bottom>
    </border>
    <border>
      <top style="thin">
        <color rgb="FF000000"/>
      </top>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0" fillId="0" fontId="3" numFmtId="0" xfId="0" applyAlignment="1" applyFont="1">
      <alignment shrinkToFit="0" wrapText="1"/>
    </xf>
    <xf borderId="1" fillId="0" fontId="4" numFmtId="0" xfId="0" applyAlignment="1" applyBorder="1" applyFont="1">
      <alignment horizontal="center" shrinkToFit="0" wrapText="1"/>
    </xf>
    <xf borderId="0" fillId="0" fontId="5" numFmtId="0" xfId="0" applyAlignment="1" applyFont="1">
      <alignment horizontal="left" shrinkToFit="0" wrapText="1"/>
    </xf>
    <xf borderId="0" fillId="0" fontId="6" numFmtId="164" xfId="0" applyAlignment="1" applyFont="1" applyNumberFormat="1">
      <alignment shrinkToFit="0" wrapText="1"/>
    </xf>
    <xf borderId="0" fillId="0" fontId="6" numFmtId="164" xfId="0" applyAlignment="1" applyFont="1" applyNumberFormat="1">
      <alignment horizontal="right" shrinkToFit="0" wrapText="1"/>
    </xf>
    <xf borderId="2" fillId="0" fontId="5" numFmtId="165" xfId="0" applyAlignment="1" applyBorder="1" applyFont="1" applyNumberFormat="1">
      <alignment horizontal="right" shrinkToFit="0" wrapText="1"/>
    </xf>
    <xf borderId="0" fillId="0" fontId="6" numFmtId="0" xfId="0" applyAlignment="1" applyFont="1">
      <alignment horizontal="center"/>
    </xf>
    <xf borderId="0" fillId="0" fontId="7" numFmtId="0" xfId="0" applyFont="1"/>
    <xf borderId="0" fillId="0" fontId="3" numFmtId="1" xfId="0" applyFont="1" applyNumberFormat="1"/>
    <xf borderId="0" fillId="0" fontId="8" numFmtId="0" xfId="0" applyAlignment="1" applyFont="1">
      <alignment horizontal="center"/>
    </xf>
    <xf borderId="3" fillId="2" fontId="6" numFmtId="164" xfId="0" applyAlignment="1" applyBorder="1" applyFill="1" applyFont="1" applyNumberFormat="1">
      <alignment horizontal="right" shrinkToFit="0" wrapText="1"/>
    </xf>
    <xf borderId="0" fillId="0" fontId="9" numFmtId="0" xfId="0" applyFont="1"/>
    <xf borderId="0" fillId="0" fontId="10" numFmtId="0" xfId="0" applyAlignment="1" applyFont="1">
      <alignment readingOrder="0"/>
    </xf>
    <xf borderId="3" fillId="3" fontId="5" numFmtId="165" xfId="0" applyAlignment="1" applyBorder="1" applyFill="1" applyFont="1" applyNumberFormat="1">
      <alignment horizontal="right" shrinkToFit="0" wrapText="1"/>
    </xf>
    <xf borderId="3" fillId="3" fontId="6" numFmtId="164" xfId="0" applyAlignment="1" applyBorder="1" applyFont="1" applyNumberForma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0"/>
    <col customWidth="1" min="2" max="2" width="13.75"/>
    <col customWidth="1" min="3" max="26" width="8.63"/>
  </cols>
  <sheetData>
    <row r="1" ht="14.25" customHeight="1">
      <c r="A1" s="1" t="s">
        <v>0</v>
      </c>
    </row>
    <row r="2" ht="14.25" customHeight="1">
      <c r="A2" s="1" t="s">
        <v>1</v>
      </c>
    </row>
    <row r="3" ht="14.25" customHeight="1">
      <c r="A3" s="2" t="s">
        <v>2</v>
      </c>
    </row>
    <row r="4" ht="14.25" customHeight="1"/>
    <row r="5" ht="14.25" customHeight="1">
      <c r="A5" s="3"/>
      <c r="B5" s="4" t="s">
        <v>3</v>
      </c>
    </row>
    <row r="6" ht="14.25" customHeight="1">
      <c r="A6" s="5" t="s">
        <v>4</v>
      </c>
      <c r="B6" s="6"/>
    </row>
    <row r="7" ht="14.25" customHeight="1">
      <c r="A7" s="5" t="s">
        <v>5</v>
      </c>
      <c r="B7" s="6"/>
    </row>
    <row r="8" ht="14.25" customHeight="1">
      <c r="A8" s="5" t="s">
        <v>6</v>
      </c>
      <c r="B8" s="6"/>
    </row>
    <row r="9" ht="14.25" customHeight="1">
      <c r="A9" s="5" t="s">
        <v>7</v>
      </c>
      <c r="B9" s="7">
        <f>0</f>
        <v>0</v>
      </c>
    </row>
    <row r="10" ht="14.25" customHeight="1">
      <c r="A10" s="5" t="s">
        <v>8</v>
      </c>
      <c r="B10" s="7">
        <f>12488.1</f>
        <v>12488.1</v>
      </c>
    </row>
    <row r="11" ht="14.25" customHeight="1">
      <c r="A11" s="5" t="s">
        <v>9</v>
      </c>
      <c r="B11" s="7">
        <f>0.04</f>
        <v>0.04</v>
      </c>
    </row>
    <row r="12" ht="14.25" customHeight="1">
      <c r="A12" s="5" t="s">
        <v>10</v>
      </c>
      <c r="B12" s="7">
        <f>230845.88</f>
        <v>230845.88</v>
      </c>
    </row>
    <row r="13" ht="14.25" customHeight="1">
      <c r="A13" s="5" t="s">
        <v>11</v>
      </c>
      <c r="B13" s="7">
        <f>134844.13</f>
        <v>134844.13</v>
      </c>
    </row>
    <row r="14" ht="14.25" customHeight="1">
      <c r="A14" s="5" t="s">
        <v>12</v>
      </c>
      <c r="B14" s="8">
        <f>((((B9)+(B10))+(B11))+(B12))+(B13)</f>
        <v>378178.15</v>
      </c>
    </row>
    <row r="15" ht="14.25" customHeight="1">
      <c r="A15" s="5" t="s">
        <v>13</v>
      </c>
      <c r="B15" s="8">
        <f>B14</f>
        <v>378178.15</v>
      </c>
    </row>
    <row r="16" ht="14.25" customHeight="1">
      <c r="A16" s="5" t="s">
        <v>14</v>
      </c>
      <c r="B16" s="6"/>
    </row>
    <row r="17" ht="14.25" customHeight="1">
      <c r="A17" s="5" t="s">
        <v>15</v>
      </c>
      <c r="B17" s="7">
        <f>166273.29</f>
        <v>166273.29</v>
      </c>
    </row>
    <row r="18" ht="14.25" customHeight="1">
      <c r="A18" s="5" t="s">
        <v>16</v>
      </c>
      <c r="B18" s="8">
        <f>B17</f>
        <v>166273.29</v>
      </c>
    </row>
    <row r="19" ht="14.25" customHeight="1">
      <c r="A19" s="5" t="s">
        <v>17</v>
      </c>
      <c r="B19" s="6"/>
    </row>
    <row r="20" ht="14.25" customHeight="1">
      <c r="A20" s="5" t="s">
        <v>18</v>
      </c>
      <c r="B20" s="6"/>
    </row>
    <row r="21" ht="14.25" customHeight="1">
      <c r="A21" s="5" t="s">
        <v>19</v>
      </c>
      <c r="B21" s="7">
        <f>37309.86</f>
        <v>37309.86</v>
      </c>
    </row>
    <row r="22" ht="14.25" customHeight="1">
      <c r="A22" s="5" t="s">
        <v>20</v>
      </c>
      <c r="B22" s="7">
        <f>4335.01</f>
        <v>4335.01</v>
      </c>
    </row>
    <row r="23" ht="14.25" customHeight="1">
      <c r="A23" s="5" t="s">
        <v>21</v>
      </c>
      <c r="B23" s="8">
        <f>((B20)+(B21))+(B22)</f>
        <v>41644.87</v>
      </c>
    </row>
    <row r="24" ht="14.25" customHeight="1">
      <c r="A24" s="5" t="s">
        <v>22</v>
      </c>
      <c r="B24" s="6"/>
    </row>
    <row r="25" ht="14.25" customHeight="1">
      <c r="A25" s="5" t="s">
        <v>23</v>
      </c>
      <c r="B25" s="7">
        <f>6957.95</f>
        <v>6957.95</v>
      </c>
    </row>
    <row r="26" ht="14.25" customHeight="1">
      <c r="A26" s="5" t="s">
        <v>24</v>
      </c>
      <c r="B26" s="8">
        <f>(B24)+(B25)</f>
        <v>6957.95</v>
      </c>
    </row>
    <row r="27" ht="14.25" customHeight="1">
      <c r="A27" s="5" t="s">
        <v>25</v>
      </c>
      <c r="B27" s="8">
        <f>(B23)+(B26)</f>
        <v>48602.82</v>
      </c>
    </row>
    <row r="28" ht="14.25" customHeight="1">
      <c r="A28" s="5" t="s">
        <v>26</v>
      </c>
      <c r="B28" s="8">
        <f>((B15)+(B18))+(B27)</f>
        <v>593054.26</v>
      </c>
    </row>
    <row r="29" ht="14.25" customHeight="1">
      <c r="A29" s="5" t="s">
        <v>27</v>
      </c>
      <c r="B29" s="8">
        <f>B28</f>
        <v>593054.26</v>
      </c>
    </row>
    <row r="30" ht="14.25" customHeight="1">
      <c r="A30" s="5" t="s">
        <v>28</v>
      </c>
      <c r="B30" s="6"/>
    </row>
    <row r="31" ht="14.25" customHeight="1">
      <c r="A31" s="5" t="s">
        <v>29</v>
      </c>
      <c r="B31" s="6"/>
    </row>
    <row r="32" ht="14.25" customHeight="1">
      <c r="A32" s="5" t="s">
        <v>30</v>
      </c>
      <c r="B32" s="6"/>
    </row>
    <row r="33" ht="14.25" customHeight="1">
      <c r="A33" s="5" t="s">
        <v>31</v>
      </c>
      <c r="B33" s="6"/>
    </row>
    <row r="34" ht="14.25" customHeight="1">
      <c r="A34" s="5" t="s">
        <v>32</v>
      </c>
      <c r="B34" s="7">
        <f>122649.11</f>
        <v>122649.11</v>
      </c>
    </row>
    <row r="35" ht="14.25" customHeight="1">
      <c r="A35" s="5" t="s">
        <v>33</v>
      </c>
      <c r="B35" s="8">
        <f>B34</f>
        <v>122649.11</v>
      </c>
    </row>
    <row r="36" ht="14.25" customHeight="1">
      <c r="A36" s="5" t="s">
        <v>34</v>
      </c>
      <c r="B36" s="6"/>
    </row>
    <row r="37" ht="14.25" customHeight="1">
      <c r="A37" s="5" t="s">
        <v>35</v>
      </c>
      <c r="B37" s="6"/>
    </row>
    <row r="38" ht="14.25" customHeight="1">
      <c r="A38" s="5" t="s">
        <v>36</v>
      </c>
      <c r="B38" s="7">
        <f>4275.41</f>
        <v>4275.41</v>
      </c>
    </row>
    <row r="39" ht="14.25" customHeight="1">
      <c r="A39" s="5" t="s">
        <v>37</v>
      </c>
      <c r="B39" s="7">
        <f>234.36</f>
        <v>234.36</v>
      </c>
    </row>
    <row r="40" ht="14.25" customHeight="1">
      <c r="A40" s="5" t="s">
        <v>38</v>
      </c>
      <c r="B40" s="7">
        <f>627.33</f>
        <v>627.33</v>
      </c>
    </row>
    <row r="41" ht="14.25" customHeight="1">
      <c r="A41" s="5" t="s">
        <v>39</v>
      </c>
      <c r="B41" s="7">
        <f>2677.95</f>
        <v>2677.95</v>
      </c>
    </row>
    <row r="42" ht="14.25" customHeight="1">
      <c r="A42" s="5" t="s">
        <v>40</v>
      </c>
      <c r="B42" s="8">
        <f>((((B37)+(B38))+(B39))+(B40))+(B41)</f>
        <v>7815.05</v>
      </c>
    </row>
    <row r="43" ht="14.25" customHeight="1">
      <c r="A43" s="5" t="s">
        <v>41</v>
      </c>
      <c r="B43" s="8">
        <f>B42</f>
        <v>7815.05</v>
      </c>
    </row>
    <row r="44" ht="14.25" customHeight="1">
      <c r="A44" s="5" t="s">
        <v>42</v>
      </c>
      <c r="B44" s="6"/>
    </row>
    <row r="45" ht="14.25" customHeight="1">
      <c r="A45" s="5" t="s">
        <v>43</v>
      </c>
      <c r="B45" s="6"/>
    </row>
    <row r="46" ht="14.25" customHeight="1">
      <c r="A46" s="5" t="s">
        <v>44</v>
      </c>
      <c r="B46" s="7">
        <f>667.4</f>
        <v>667.4</v>
      </c>
    </row>
    <row r="47" ht="14.25" customHeight="1">
      <c r="A47" s="5" t="s">
        <v>45</v>
      </c>
      <c r="B47" s="8">
        <f>(B45)+(B46)</f>
        <v>667.4</v>
      </c>
    </row>
    <row r="48" ht="14.25" customHeight="1">
      <c r="A48" s="5" t="s">
        <v>46</v>
      </c>
      <c r="B48" s="7">
        <f>508952.73</f>
        <v>508952.73</v>
      </c>
    </row>
    <row r="49" ht="14.25" customHeight="1">
      <c r="A49" s="5" t="s">
        <v>47</v>
      </c>
      <c r="B49" s="6"/>
    </row>
    <row r="50" ht="14.25" customHeight="1">
      <c r="A50" s="5" t="s">
        <v>48</v>
      </c>
      <c r="B50" s="7">
        <f>6718.74</f>
        <v>6718.74</v>
      </c>
    </row>
    <row r="51" ht="14.25" customHeight="1">
      <c r="A51" s="5" t="s">
        <v>49</v>
      </c>
      <c r="B51" s="7">
        <f>6006.21</f>
        <v>6006.21</v>
      </c>
    </row>
    <row r="52" ht="14.25" customHeight="1">
      <c r="A52" s="5" t="s">
        <v>50</v>
      </c>
      <c r="B52" s="8">
        <f>((B49)+(B50))+(B51)</f>
        <v>12724.95</v>
      </c>
    </row>
    <row r="53" ht="14.25" customHeight="1">
      <c r="A53" s="5" t="s">
        <v>51</v>
      </c>
      <c r="B53" s="6"/>
    </row>
    <row r="54" ht="14.25" customHeight="1">
      <c r="A54" s="5" t="s">
        <v>52</v>
      </c>
      <c r="B54" s="7">
        <f>17500</f>
        <v>17500</v>
      </c>
    </row>
    <row r="55" ht="14.25" customHeight="1">
      <c r="A55" s="5" t="s">
        <v>53</v>
      </c>
      <c r="B55" s="8">
        <f>(B53)+(B54)</f>
        <v>17500</v>
      </c>
    </row>
    <row r="56" ht="14.25" customHeight="1">
      <c r="A56" s="5" t="s">
        <v>54</v>
      </c>
      <c r="B56" s="8">
        <f>(((B47)+(B48))+(B52))+(B55)</f>
        <v>539845.08</v>
      </c>
    </row>
    <row r="57" ht="14.25" customHeight="1">
      <c r="A57" s="5" t="s">
        <v>55</v>
      </c>
      <c r="B57" s="8">
        <f>((B35)+(B43))+(B56)</f>
        <v>670309.24</v>
      </c>
    </row>
    <row r="58" ht="14.25" customHeight="1">
      <c r="A58" s="5" t="s">
        <v>56</v>
      </c>
      <c r="B58" s="8">
        <f>B57</f>
        <v>670309.24</v>
      </c>
    </row>
    <row r="59" ht="14.25" customHeight="1">
      <c r="A59" s="5" t="s">
        <v>57</v>
      </c>
      <c r="B59" s="6"/>
    </row>
    <row r="60" ht="14.25" customHeight="1">
      <c r="A60" s="5" t="s">
        <v>58</v>
      </c>
      <c r="B60" s="7">
        <f>0</f>
        <v>0</v>
      </c>
    </row>
    <row r="61" ht="14.25" customHeight="1">
      <c r="A61" s="5" t="s">
        <v>59</v>
      </c>
      <c r="B61" s="7">
        <f>-26110</f>
        <v>-26110</v>
      </c>
    </row>
    <row r="62" ht="14.25" customHeight="1">
      <c r="A62" s="5" t="s">
        <v>60</v>
      </c>
      <c r="B62" s="8">
        <f>(B60)+(B61)</f>
        <v>-26110</v>
      </c>
    </row>
    <row r="63" ht="14.25" customHeight="1">
      <c r="A63" s="5" t="s">
        <v>61</v>
      </c>
      <c r="B63" s="7">
        <f>-92023.23</f>
        <v>-92023.23</v>
      </c>
    </row>
    <row r="64" ht="14.25" customHeight="1">
      <c r="A64" s="5" t="s">
        <v>62</v>
      </c>
      <c r="B64" s="7">
        <f>40878.25</f>
        <v>40878.25</v>
      </c>
    </row>
    <row r="65" ht="14.25" customHeight="1">
      <c r="A65" s="5" t="s">
        <v>63</v>
      </c>
      <c r="B65" s="8">
        <f>((B62)+(B63))+(B64)</f>
        <v>-77254.98</v>
      </c>
    </row>
    <row r="66" ht="14.25" customHeight="1">
      <c r="A66" s="5" t="s">
        <v>64</v>
      </c>
      <c r="B66" s="8">
        <f>(B58)+(B65)</f>
        <v>593054.26</v>
      </c>
    </row>
    <row r="67" ht="14.25" customHeight="1">
      <c r="A67" s="5"/>
      <c r="B67" s="6"/>
    </row>
    <row r="68" ht="14.25" customHeight="1"/>
    <row r="69" ht="14.25" customHeight="1"/>
    <row r="70" ht="14.25" customHeight="1">
      <c r="A70" s="9" t="s">
        <v>65</v>
      </c>
    </row>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B1"/>
    <mergeCell ref="A2:B2"/>
    <mergeCell ref="A3:B3"/>
    <mergeCell ref="A70:B7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63"/>
    <col customWidth="1" min="2" max="4" width="10.38"/>
    <col customWidth="1" min="5" max="5" width="8.63"/>
    <col customWidth="1" min="6" max="6" width="19.5"/>
    <col customWidth="1" min="7" max="7" width="11.38"/>
    <col customWidth="1" min="8" max="8" width="18.5"/>
    <col customWidth="1" min="9" max="9" width="26.13"/>
    <col customWidth="1" min="10" max="10" width="40.38"/>
    <col customWidth="1" min="11" max="26" width="8.63"/>
  </cols>
  <sheetData>
    <row r="1" ht="14.25" customHeight="1">
      <c r="A1" s="1" t="s">
        <v>0</v>
      </c>
    </row>
    <row r="2" ht="14.25" customHeight="1">
      <c r="A2" s="1" t="s">
        <v>66</v>
      </c>
    </row>
    <row r="3" ht="14.25" customHeight="1">
      <c r="A3" s="2" t="s">
        <v>67</v>
      </c>
    </row>
    <row r="4" ht="14.25" customHeight="1"/>
    <row r="5" ht="14.25" customHeight="1">
      <c r="A5" s="10" t="s">
        <v>68</v>
      </c>
      <c r="B5" s="11">
        <v>22.0</v>
      </c>
      <c r="C5" s="11">
        <v>20.0</v>
      </c>
    </row>
    <row r="6" ht="14.25" customHeight="1">
      <c r="A6" s="3"/>
      <c r="B6" s="4" t="s">
        <v>69</v>
      </c>
      <c r="C6" s="4" t="s">
        <v>70</v>
      </c>
      <c r="D6" s="4" t="s">
        <v>3</v>
      </c>
      <c r="F6" s="12" t="s">
        <v>71</v>
      </c>
      <c r="G6" s="12" t="s">
        <v>72</v>
      </c>
      <c r="H6" s="12" t="s">
        <v>73</v>
      </c>
      <c r="I6" s="12" t="s">
        <v>74</v>
      </c>
      <c r="J6" s="12" t="s">
        <v>75</v>
      </c>
    </row>
    <row r="7" ht="14.25" customHeight="1">
      <c r="A7" s="5" t="s">
        <v>76</v>
      </c>
      <c r="B7" s="6"/>
      <c r="C7" s="6"/>
      <c r="D7" s="6"/>
    </row>
    <row r="8" ht="14.25" customHeight="1">
      <c r="A8" s="5" t="s">
        <v>77</v>
      </c>
      <c r="B8" s="6"/>
      <c r="C8" s="6"/>
      <c r="D8" s="7">
        <f t="shared" ref="D8:D14" si="1">(B8)+(C8)</f>
        <v>0</v>
      </c>
    </row>
    <row r="9" ht="14.25" customHeight="1">
      <c r="A9" s="5" t="s">
        <v>78</v>
      </c>
      <c r="B9" s="7">
        <f>45036.41</f>
        <v>45036.41</v>
      </c>
      <c r="C9" s="7">
        <f>46916.33</f>
        <v>46916.33</v>
      </c>
      <c r="D9" s="7">
        <f t="shared" si="1"/>
        <v>91952.74</v>
      </c>
    </row>
    <row r="10" ht="14.25" customHeight="1">
      <c r="A10" s="5" t="s">
        <v>79</v>
      </c>
      <c r="B10" s="7">
        <f>70720.17</f>
        <v>70720.17</v>
      </c>
      <c r="C10" s="7">
        <f>79614.27</f>
        <v>79614.27</v>
      </c>
      <c r="D10" s="7">
        <f t="shared" si="1"/>
        <v>150334.44</v>
      </c>
    </row>
    <row r="11" ht="14.25" customHeight="1">
      <c r="A11" s="5" t="s">
        <v>80</v>
      </c>
      <c r="B11" s="7">
        <f>53035.5</f>
        <v>53035.5</v>
      </c>
      <c r="C11" s="7">
        <f>84139.81</f>
        <v>84139.81</v>
      </c>
      <c r="D11" s="7">
        <f t="shared" si="1"/>
        <v>137175.31</v>
      </c>
    </row>
    <row r="12" ht="14.25" customHeight="1">
      <c r="A12" s="5" t="s">
        <v>81</v>
      </c>
      <c r="B12" s="8">
        <f t="shared" ref="B12:C12" si="2">(((B8)+(B9))+(B10))+(B11)</f>
        <v>168792.08</v>
      </c>
      <c r="C12" s="8">
        <f t="shared" si="2"/>
        <v>210670.41</v>
      </c>
      <c r="D12" s="8">
        <f t="shared" si="1"/>
        <v>379462.49</v>
      </c>
    </row>
    <row r="13" ht="14.25" customHeight="1">
      <c r="A13" s="5" t="s">
        <v>82</v>
      </c>
      <c r="B13" s="6"/>
      <c r="C13" s="7">
        <f>7907.91</f>
        <v>7907.91</v>
      </c>
      <c r="D13" s="7">
        <f t="shared" si="1"/>
        <v>7907.91</v>
      </c>
    </row>
    <row r="14" ht="14.25" customHeight="1">
      <c r="A14" s="5" t="s">
        <v>83</v>
      </c>
      <c r="B14" s="8">
        <f t="shared" ref="B14:C14" si="3">(B12)+(B13)</f>
        <v>168792.08</v>
      </c>
      <c r="C14" s="8">
        <f t="shared" si="3"/>
        <v>218578.32</v>
      </c>
      <c r="D14" s="8">
        <f t="shared" si="1"/>
        <v>387370.4</v>
      </c>
    </row>
    <row r="15" ht="14.25" customHeight="1">
      <c r="A15" s="5" t="s">
        <v>84</v>
      </c>
      <c r="B15" s="6"/>
      <c r="C15" s="6"/>
      <c r="D15" s="6"/>
    </row>
    <row r="16" ht="14.25" customHeight="1">
      <c r="A16" s="5" t="s">
        <v>85</v>
      </c>
      <c r="B16" s="6"/>
      <c r="C16" s="6"/>
      <c r="D16" s="7">
        <f t="shared" ref="D16:D22" si="4">(B16)+(C16)</f>
        <v>0</v>
      </c>
    </row>
    <row r="17" ht="14.25" customHeight="1">
      <c r="A17" s="5" t="s">
        <v>86</v>
      </c>
      <c r="B17" s="7">
        <f>80330.01</f>
        <v>80330.01</v>
      </c>
      <c r="C17" s="7">
        <f>117061.4</f>
        <v>117061.4</v>
      </c>
      <c r="D17" s="7">
        <f t="shared" si="4"/>
        <v>197391.41</v>
      </c>
    </row>
    <row r="18" ht="14.25" customHeight="1">
      <c r="A18" s="5" t="s">
        <v>87</v>
      </c>
      <c r="B18" s="7">
        <f>3214.22</f>
        <v>3214.22</v>
      </c>
      <c r="C18" s="13">
        <f>241.18</f>
        <v>241.18</v>
      </c>
      <c r="D18" s="7">
        <f t="shared" si="4"/>
        <v>3455.4</v>
      </c>
      <c r="F18" s="14">
        <v>0.15</v>
      </c>
      <c r="G18" s="15">
        <v>1.0</v>
      </c>
      <c r="H18" s="15" t="s">
        <v>88</v>
      </c>
    </row>
    <row r="19" ht="14.25" customHeight="1">
      <c r="A19" s="5" t="s">
        <v>89</v>
      </c>
      <c r="B19" s="6"/>
      <c r="C19" s="7">
        <f>584.5</f>
        <v>584.5</v>
      </c>
      <c r="D19" s="7">
        <f t="shared" si="4"/>
        <v>584.5</v>
      </c>
    </row>
    <row r="20" ht="14.25" customHeight="1">
      <c r="A20" s="5" t="s">
        <v>90</v>
      </c>
      <c r="B20" s="8">
        <f t="shared" ref="B20:C20" si="5">(((B16)+(B17))+(B18))+(B19)</f>
        <v>83544.23</v>
      </c>
      <c r="C20" s="8">
        <f t="shared" si="5"/>
        <v>117887.08</v>
      </c>
      <c r="D20" s="8">
        <f t="shared" si="4"/>
        <v>201431.31</v>
      </c>
    </row>
    <row r="21" ht="14.25" customHeight="1">
      <c r="A21" s="5" t="s">
        <v>91</v>
      </c>
      <c r="B21" s="8">
        <f t="shared" ref="B21:C21" si="6">B20</f>
        <v>83544.23</v>
      </c>
      <c r="C21" s="8">
        <f t="shared" si="6"/>
        <v>117887.08</v>
      </c>
      <c r="D21" s="8">
        <f t="shared" si="4"/>
        <v>201431.31</v>
      </c>
    </row>
    <row r="22" ht="14.25" customHeight="1">
      <c r="A22" s="5" t="s">
        <v>92</v>
      </c>
      <c r="B22" s="8">
        <f t="shared" ref="B22:C22" si="7">(B14)-(B21)</f>
        <v>85247.85</v>
      </c>
      <c r="C22" s="16">
        <f t="shared" si="7"/>
        <v>100691.24</v>
      </c>
      <c r="D22" s="8">
        <f t="shared" si="4"/>
        <v>185939.09</v>
      </c>
      <c r="F22" s="14">
        <v>0.05</v>
      </c>
      <c r="H22" s="15" t="s">
        <v>93</v>
      </c>
      <c r="I22" s="14">
        <v>0.25</v>
      </c>
      <c r="J22" s="14" t="s">
        <v>94</v>
      </c>
    </row>
    <row r="23" ht="14.25" customHeight="1">
      <c r="A23" s="5" t="s">
        <v>95</v>
      </c>
      <c r="B23" s="6"/>
      <c r="C23" s="6"/>
      <c r="D23" s="6"/>
    </row>
    <row r="24" ht="14.25" customHeight="1">
      <c r="A24" s="5" t="s">
        <v>96</v>
      </c>
      <c r="B24" s="6"/>
      <c r="C24" s="6"/>
      <c r="D24" s="7">
        <f t="shared" ref="D24:D94" si="8">(B24)+(C24)</f>
        <v>0</v>
      </c>
    </row>
    <row r="25" ht="14.25" customHeight="1">
      <c r="A25" s="5" t="s">
        <v>97</v>
      </c>
      <c r="B25" s="7">
        <f>11862.5</f>
        <v>11862.5</v>
      </c>
      <c r="C25" s="17">
        <f>10235</f>
        <v>10235</v>
      </c>
      <c r="D25" s="7">
        <f t="shared" si="8"/>
        <v>22097.5</v>
      </c>
      <c r="F25" s="14">
        <v>0.05</v>
      </c>
      <c r="I25" s="14">
        <v>0.35</v>
      </c>
      <c r="J25" s="15" t="s">
        <v>98</v>
      </c>
    </row>
    <row r="26" ht="14.25" customHeight="1">
      <c r="A26" s="5" t="s">
        <v>99</v>
      </c>
      <c r="B26" s="7">
        <f>24096.35</f>
        <v>24096.35</v>
      </c>
      <c r="C26" s="17">
        <f>14389.22</f>
        <v>14389.22</v>
      </c>
      <c r="D26" s="7">
        <f t="shared" si="8"/>
        <v>38485.57</v>
      </c>
      <c r="F26" s="14">
        <v>0.15</v>
      </c>
      <c r="I26" s="14">
        <v>0.2</v>
      </c>
      <c r="J26" s="14" t="s">
        <v>100</v>
      </c>
    </row>
    <row r="27" ht="14.25" customHeight="1">
      <c r="A27" s="5" t="s">
        <v>101</v>
      </c>
      <c r="B27" s="7">
        <f>5383.17</f>
        <v>5383.17</v>
      </c>
      <c r="C27" s="17">
        <f>2359.73</f>
        <v>2359.73</v>
      </c>
      <c r="D27" s="7">
        <f t="shared" si="8"/>
        <v>7742.9</v>
      </c>
      <c r="F27" s="14">
        <v>0.15</v>
      </c>
      <c r="I27" s="14">
        <v>0.25</v>
      </c>
      <c r="J27" s="14" t="s">
        <v>102</v>
      </c>
    </row>
    <row r="28" ht="14.25" customHeight="1">
      <c r="A28" s="5" t="s">
        <v>103</v>
      </c>
      <c r="B28" s="7">
        <f>743.75</f>
        <v>743.75</v>
      </c>
      <c r="C28" s="13">
        <f>425.29</f>
        <v>425.29</v>
      </c>
      <c r="D28" s="7">
        <f t="shared" si="8"/>
        <v>1169.04</v>
      </c>
      <c r="F28" s="14">
        <v>0.15</v>
      </c>
    </row>
    <row r="29" ht="14.25" customHeight="1">
      <c r="A29" s="5" t="s">
        <v>104</v>
      </c>
      <c r="B29" s="6"/>
      <c r="C29" s="7">
        <f>0</f>
        <v>0</v>
      </c>
      <c r="D29" s="7">
        <f t="shared" si="8"/>
        <v>0</v>
      </c>
    </row>
    <row r="30" ht="14.25" customHeight="1">
      <c r="A30" s="5" t="s">
        <v>105</v>
      </c>
      <c r="B30" s="7">
        <f t="shared" ref="B30:C30" si="9">140</f>
        <v>140</v>
      </c>
      <c r="C30" s="13">
        <f t="shared" si="9"/>
        <v>140</v>
      </c>
      <c r="D30" s="7">
        <f t="shared" si="8"/>
        <v>280</v>
      </c>
      <c r="F30" s="14">
        <v>0.15</v>
      </c>
      <c r="I30" s="14">
        <v>0.05</v>
      </c>
      <c r="J30" s="14" t="s">
        <v>106</v>
      </c>
    </row>
    <row r="31" ht="14.25" customHeight="1">
      <c r="A31" s="5" t="s">
        <v>107</v>
      </c>
      <c r="B31" s="7">
        <f t="shared" ref="B31:C31" si="10">138.46</f>
        <v>138.46</v>
      </c>
      <c r="C31" s="13">
        <f t="shared" si="10"/>
        <v>138.46</v>
      </c>
      <c r="D31" s="7">
        <f t="shared" si="8"/>
        <v>276.92</v>
      </c>
      <c r="F31" s="14">
        <v>0.15</v>
      </c>
      <c r="I31" s="14">
        <v>0.05</v>
      </c>
      <c r="J31" s="14" t="s">
        <v>108</v>
      </c>
    </row>
    <row r="32" ht="14.25" customHeight="1">
      <c r="A32" s="5" t="s">
        <v>109</v>
      </c>
      <c r="B32" s="8">
        <f t="shared" ref="B32:C32" si="11">(((((((B24)+(B25))+(B26))+(B27))+(B28))+(B29))+(B30))+(B31)</f>
        <v>42364.23</v>
      </c>
      <c r="C32" s="8">
        <f t="shared" si="11"/>
        <v>27687.7</v>
      </c>
      <c r="D32" s="8">
        <f t="shared" si="8"/>
        <v>70051.93</v>
      </c>
    </row>
    <row r="33" ht="14.25" customHeight="1">
      <c r="A33" s="5" t="s">
        <v>110</v>
      </c>
      <c r="B33" s="6"/>
      <c r="C33" s="6"/>
      <c r="D33" s="7">
        <f t="shared" si="8"/>
        <v>0</v>
      </c>
    </row>
    <row r="34" ht="14.25" customHeight="1">
      <c r="A34" s="5" t="s">
        <v>111</v>
      </c>
      <c r="B34" s="7">
        <f>2110.2</f>
        <v>2110.2</v>
      </c>
      <c r="C34" s="7">
        <f>2317.85</f>
        <v>2317.85</v>
      </c>
      <c r="D34" s="7">
        <f t="shared" si="8"/>
        <v>4428.05</v>
      </c>
    </row>
    <row r="35" ht="14.25" customHeight="1">
      <c r="A35" s="5" t="s">
        <v>112</v>
      </c>
      <c r="B35" s="7">
        <f>2766.1</f>
        <v>2766.1</v>
      </c>
      <c r="C35" s="7">
        <f>2596.1</f>
        <v>2596.1</v>
      </c>
      <c r="D35" s="7">
        <f t="shared" si="8"/>
        <v>5362.2</v>
      </c>
    </row>
    <row r="36" ht="14.25" customHeight="1">
      <c r="A36" s="5" t="s">
        <v>113</v>
      </c>
      <c r="B36" s="7">
        <f>1282.55</f>
        <v>1282.55</v>
      </c>
      <c r="C36" s="7">
        <f>6182.8</f>
        <v>6182.8</v>
      </c>
      <c r="D36" s="7">
        <f t="shared" si="8"/>
        <v>7465.35</v>
      </c>
    </row>
    <row r="37" ht="14.25" customHeight="1">
      <c r="A37" s="5" t="s">
        <v>114</v>
      </c>
      <c r="B37" s="7">
        <f>731.25</f>
        <v>731.25</v>
      </c>
      <c r="C37" s="6"/>
      <c r="D37" s="7">
        <f t="shared" si="8"/>
        <v>731.25</v>
      </c>
    </row>
    <row r="38" ht="14.25" customHeight="1">
      <c r="A38" s="5" t="s">
        <v>115</v>
      </c>
      <c r="B38" s="8">
        <f t="shared" ref="B38:C38" si="12">((((B33)+(B34))+(B35))+(B36))+(B37)</f>
        <v>6890.1</v>
      </c>
      <c r="C38" s="8">
        <f t="shared" si="12"/>
        <v>11096.75</v>
      </c>
      <c r="D38" s="8">
        <f t="shared" si="8"/>
        <v>17986.85</v>
      </c>
    </row>
    <row r="39" ht="14.25" customHeight="1">
      <c r="A39" s="5" t="s">
        <v>116</v>
      </c>
      <c r="B39" s="6"/>
      <c r="C39" s="6"/>
      <c r="D39" s="7">
        <f t="shared" si="8"/>
        <v>0</v>
      </c>
    </row>
    <row r="40" ht="14.25" customHeight="1">
      <c r="A40" s="5" t="s">
        <v>117</v>
      </c>
      <c r="B40" s="7">
        <f>549</f>
        <v>549</v>
      </c>
      <c r="C40" s="7">
        <f>0</f>
        <v>0</v>
      </c>
      <c r="D40" s="7">
        <f t="shared" si="8"/>
        <v>549</v>
      </c>
    </row>
    <row r="41" ht="14.25" customHeight="1">
      <c r="A41" s="5" t="s">
        <v>118</v>
      </c>
      <c r="B41" s="7">
        <f>5832.29</f>
        <v>5832.29</v>
      </c>
      <c r="C41" s="7">
        <f>851.75</f>
        <v>851.75</v>
      </c>
      <c r="D41" s="7">
        <f t="shared" si="8"/>
        <v>6684.04</v>
      </c>
    </row>
    <row r="42" ht="14.25" customHeight="1">
      <c r="A42" s="5" t="s">
        <v>119</v>
      </c>
      <c r="B42" s="7">
        <f>10902.28</f>
        <v>10902.28</v>
      </c>
      <c r="C42" s="7">
        <f>1396.61</f>
        <v>1396.61</v>
      </c>
      <c r="D42" s="7">
        <f t="shared" si="8"/>
        <v>12298.89</v>
      </c>
    </row>
    <row r="43" ht="14.25" customHeight="1">
      <c r="A43" s="5" t="s">
        <v>120</v>
      </c>
      <c r="B43" s="8">
        <f t="shared" ref="B43:C43" si="13">(((B39)+(B40))+(B41))+(B42)</f>
        <v>17283.57</v>
      </c>
      <c r="C43" s="8">
        <f t="shared" si="13"/>
        <v>2248.36</v>
      </c>
      <c r="D43" s="8">
        <f t="shared" si="8"/>
        <v>19531.93</v>
      </c>
    </row>
    <row r="44" ht="14.25" customHeight="1">
      <c r="A44" s="5" t="s">
        <v>121</v>
      </c>
      <c r="B44" s="6"/>
      <c r="C44" s="6"/>
      <c r="D44" s="7">
        <f t="shared" si="8"/>
        <v>0</v>
      </c>
    </row>
    <row r="45" ht="14.25" customHeight="1">
      <c r="A45" s="5" t="s">
        <v>122</v>
      </c>
      <c r="B45" s="7">
        <f>779.52</f>
        <v>779.52</v>
      </c>
      <c r="C45" s="7">
        <f>868.71</f>
        <v>868.71</v>
      </c>
      <c r="D45" s="7">
        <f t="shared" si="8"/>
        <v>1648.23</v>
      </c>
    </row>
    <row r="46" ht="14.25" customHeight="1">
      <c r="A46" s="5" t="s">
        <v>123</v>
      </c>
      <c r="B46" s="7">
        <f>3026.44</f>
        <v>3026.44</v>
      </c>
      <c r="C46" s="13">
        <f>2949.16</f>
        <v>2949.16</v>
      </c>
      <c r="D46" s="7">
        <f t="shared" si="8"/>
        <v>5975.6</v>
      </c>
      <c r="F46" s="14">
        <v>0.15</v>
      </c>
      <c r="I46" s="14">
        <v>0.05</v>
      </c>
      <c r="J46" s="14" t="s">
        <v>124</v>
      </c>
    </row>
    <row r="47" ht="14.25" customHeight="1">
      <c r="A47" s="5" t="s">
        <v>125</v>
      </c>
      <c r="B47" s="8">
        <f t="shared" ref="B47:C47" si="14">((B44)+(B45))+(B46)</f>
        <v>3805.96</v>
      </c>
      <c r="C47" s="8">
        <f t="shared" si="14"/>
        <v>3817.87</v>
      </c>
      <c r="D47" s="8">
        <f t="shared" si="8"/>
        <v>7623.83</v>
      </c>
    </row>
    <row r="48" ht="14.25" customHeight="1">
      <c r="A48" s="5" t="s">
        <v>126</v>
      </c>
      <c r="B48" s="6"/>
      <c r="C48" s="6"/>
      <c r="D48" s="7">
        <f t="shared" si="8"/>
        <v>0</v>
      </c>
    </row>
    <row r="49" ht="14.25" customHeight="1">
      <c r="A49" s="5" t="s">
        <v>127</v>
      </c>
      <c r="B49" s="7">
        <f>60.87</f>
        <v>60.87</v>
      </c>
      <c r="C49" s="7">
        <f>380.39</f>
        <v>380.39</v>
      </c>
      <c r="D49" s="7">
        <f t="shared" si="8"/>
        <v>441.26</v>
      </c>
    </row>
    <row r="50" ht="14.25" customHeight="1">
      <c r="A50" s="5" t="s">
        <v>128</v>
      </c>
      <c r="B50" s="7">
        <f>229.55</f>
        <v>229.55</v>
      </c>
      <c r="C50" s="6"/>
      <c r="D50" s="7">
        <f t="shared" si="8"/>
        <v>229.55</v>
      </c>
    </row>
    <row r="51" ht="14.25" customHeight="1">
      <c r="A51" s="5" t="s">
        <v>129</v>
      </c>
      <c r="B51" s="6"/>
      <c r="C51" s="7">
        <f>870.58</f>
        <v>870.58</v>
      </c>
      <c r="D51" s="7">
        <f t="shared" si="8"/>
        <v>870.58</v>
      </c>
    </row>
    <row r="52" ht="14.25" customHeight="1">
      <c r="A52" s="5" t="s">
        <v>130</v>
      </c>
      <c r="B52" s="6"/>
      <c r="C52" s="7">
        <f>541.46</f>
        <v>541.46</v>
      </c>
      <c r="D52" s="7">
        <f t="shared" si="8"/>
        <v>541.46</v>
      </c>
    </row>
    <row r="53" ht="14.25" customHeight="1">
      <c r="A53" s="5" t="s">
        <v>131</v>
      </c>
      <c r="B53" s="7"/>
      <c r="C53" s="7">
        <f>90</f>
        <v>90</v>
      </c>
      <c r="D53" s="7">
        <f t="shared" si="8"/>
        <v>90</v>
      </c>
    </row>
    <row r="54" ht="14.25" customHeight="1">
      <c r="A54" s="5" t="s">
        <v>132</v>
      </c>
      <c r="B54" s="7">
        <f t="shared" ref="B54:C54" si="15">0</f>
        <v>0</v>
      </c>
      <c r="C54" s="7">
        <f t="shared" si="15"/>
        <v>0</v>
      </c>
      <c r="D54" s="7">
        <f t="shared" si="8"/>
        <v>0</v>
      </c>
    </row>
    <row r="55" ht="14.25" customHeight="1">
      <c r="A55" s="5" t="s">
        <v>133</v>
      </c>
      <c r="B55" s="8">
        <f t="shared" ref="B55:C55" si="16">((((((B48)+(B49))+(B50))+(B51))+(B52))+(B53))+(B54)</f>
        <v>290.42</v>
      </c>
      <c r="C55" s="8">
        <f t="shared" si="16"/>
        <v>1882.43</v>
      </c>
      <c r="D55" s="8">
        <f t="shared" si="8"/>
        <v>2172.85</v>
      </c>
    </row>
    <row r="56" ht="14.25" customHeight="1">
      <c r="A56" s="5" t="s">
        <v>134</v>
      </c>
      <c r="B56" s="6"/>
      <c r="C56" s="6"/>
      <c r="D56" s="7">
        <f t="shared" si="8"/>
        <v>0</v>
      </c>
    </row>
    <row r="57" ht="14.25" customHeight="1">
      <c r="A57" s="5" t="s">
        <v>135</v>
      </c>
      <c r="B57" s="7">
        <f t="shared" ref="B57:C57" si="17">819.95</f>
        <v>819.95</v>
      </c>
      <c r="C57" s="13">
        <f t="shared" si="17"/>
        <v>819.95</v>
      </c>
      <c r="D57" s="7">
        <f t="shared" si="8"/>
        <v>1639.9</v>
      </c>
      <c r="F57" s="14">
        <v>0.15</v>
      </c>
      <c r="I57" s="14">
        <v>0.05</v>
      </c>
      <c r="J57" s="14" t="s">
        <v>136</v>
      </c>
    </row>
    <row r="58" ht="14.25" customHeight="1">
      <c r="A58" s="5" t="s">
        <v>137</v>
      </c>
      <c r="B58" s="7">
        <f t="shared" ref="B58:C58" si="18">100</f>
        <v>100</v>
      </c>
      <c r="C58" s="13">
        <f t="shared" si="18"/>
        <v>100</v>
      </c>
      <c r="D58" s="7">
        <f t="shared" si="8"/>
        <v>200</v>
      </c>
      <c r="F58" s="14">
        <v>0.15</v>
      </c>
      <c r="I58" s="14">
        <v>0.15</v>
      </c>
      <c r="J58" s="14" t="s">
        <v>138</v>
      </c>
    </row>
    <row r="59" ht="14.25" customHeight="1">
      <c r="A59" s="5" t="s">
        <v>139</v>
      </c>
      <c r="B59" s="7">
        <f t="shared" ref="B59:C59" si="19">49.96</f>
        <v>49.96</v>
      </c>
      <c r="C59" s="7">
        <f t="shared" si="19"/>
        <v>49.96</v>
      </c>
      <c r="D59" s="7">
        <f t="shared" si="8"/>
        <v>99.92</v>
      </c>
    </row>
    <row r="60" ht="14.25" customHeight="1">
      <c r="A60" s="5" t="s">
        <v>140</v>
      </c>
      <c r="B60" s="8">
        <f t="shared" ref="B60:C60" si="20">(((B56)+(B57))+(B58))+(B59)</f>
        <v>969.91</v>
      </c>
      <c r="C60" s="8">
        <f t="shared" si="20"/>
        <v>969.91</v>
      </c>
      <c r="D60" s="8">
        <f t="shared" si="8"/>
        <v>1939.82</v>
      </c>
    </row>
    <row r="61" ht="14.25" customHeight="1">
      <c r="A61" s="5" t="s">
        <v>141</v>
      </c>
      <c r="B61" s="6"/>
      <c r="C61" s="6"/>
      <c r="D61" s="7">
        <f t="shared" si="8"/>
        <v>0</v>
      </c>
    </row>
    <row r="62" ht="14.25" customHeight="1">
      <c r="A62" s="5" t="s">
        <v>142</v>
      </c>
      <c r="B62" s="7">
        <f t="shared" ref="B62:C62" si="21">1437.13</f>
        <v>1437.13</v>
      </c>
      <c r="C62" s="13">
        <f t="shared" si="21"/>
        <v>1437.13</v>
      </c>
      <c r="D62" s="7">
        <f t="shared" si="8"/>
        <v>2874.26</v>
      </c>
      <c r="F62" s="14">
        <v>0.05</v>
      </c>
      <c r="I62" s="14">
        <v>0.01</v>
      </c>
      <c r="J62" s="14" t="s">
        <v>143</v>
      </c>
    </row>
    <row r="63" ht="14.25" customHeight="1">
      <c r="A63" s="5" t="s">
        <v>144</v>
      </c>
      <c r="B63" s="7">
        <f>93.28</f>
        <v>93.28</v>
      </c>
      <c r="C63" s="13">
        <f>79.8</f>
        <v>79.8</v>
      </c>
      <c r="D63" s="7">
        <f t="shared" si="8"/>
        <v>173.08</v>
      </c>
      <c r="F63" s="14">
        <v>0.15</v>
      </c>
      <c r="I63" s="14">
        <v>0.15</v>
      </c>
      <c r="J63" s="14" t="s">
        <v>145</v>
      </c>
    </row>
    <row r="64" ht="14.25" customHeight="1">
      <c r="A64" s="5" t="s">
        <v>146</v>
      </c>
      <c r="B64" s="7">
        <f>251.34</f>
        <v>251.34</v>
      </c>
      <c r="C64" s="13">
        <f>264.31</f>
        <v>264.31</v>
      </c>
      <c r="D64" s="7">
        <f t="shared" si="8"/>
        <v>515.65</v>
      </c>
      <c r="F64" s="14">
        <v>0.15</v>
      </c>
      <c r="I64" s="14">
        <v>0.1</v>
      </c>
      <c r="J64" s="14" t="s">
        <v>147</v>
      </c>
    </row>
    <row r="65" ht="14.25" customHeight="1">
      <c r="A65" s="5" t="s">
        <v>148</v>
      </c>
      <c r="B65" s="7">
        <f t="shared" ref="B65:C65" si="22">112.72</f>
        <v>112.72</v>
      </c>
      <c r="C65" s="13">
        <f t="shared" si="22"/>
        <v>112.72</v>
      </c>
      <c r="D65" s="7">
        <f t="shared" si="8"/>
        <v>225.44</v>
      </c>
      <c r="F65" s="14">
        <v>0.15</v>
      </c>
      <c r="I65" s="14">
        <v>0.05</v>
      </c>
      <c r="J65" s="14" t="s">
        <v>149</v>
      </c>
    </row>
    <row r="66" ht="14.25" customHeight="1">
      <c r="A66" s="5" t="s">
        <v>150</v>
      </c>
      <c r="B66" s="7">
        <f>156.94</f>
        <v>156.94</v>
      </c>
      <c r="C66" s="7">
        <f>44.49</f>
        <v>44.49</v>
      </c>
      <c r="D66" s="7">
        <f t="shared" si="8"/>
        <v>201.43</v>
      </c>
    </row>
    <row r="67" ht="14.25" customHeight="1">
      <c r="A67" s="5" t="s">
        <v>151</v>
      </c>
      <c r="B67" s="8">
        <f t="shared" ref="B67:C67" si="23">(((((B61)+(B62))+(B63))+(B64))+(B65))+(B66)</f>
        <v>2051.41</v>
      </c>
      <c r="C67" s="8">
        <f t="shared" si="23"/>
        <v>1938.45</v>
      </c>
      <c r="D67" s="8">
        <f t="shared" si="8"/>
        <v>3989.86</v>
      </c>
    </row>
    <row r="68" ht="14.25" customHeight="1">
      <c r="A68" s="5" t="s">
        <v>152</v>
      </c>
      <c r="B68" s="6"/>
      <c r="C68" s="6"/>
      <c r="D68" s="7">
        <f t="shared" si="8"/>
        <v>0</v>
      </c>
    </row>
    <row r="69" ht="14.25" customHeight="1">
      <c r="A69" s="5" t="s">
        <v>153</v>
      </c>
      <c r="B69" s="7">
        <f t="shared" ref="B69:C69" si="24">316.28</f>
        <v>316.28</v>
      </c>
      <c r="C69" s="13">
        <f t="shared" si="24"/>
        <v>316.28</v>
      </c>
      <c r="D69" s="7">
        <f t="shared" si="8"/>
        <v>632.56</v>
      </c>
      <c r="F69" s="14">
        <v>0.05</v>
      </c>
      <c r="I69" s="14">
        <v>0.05</v>
      </c>
      <c r="J69" s="14" t="s">
        <v>154</v>
      </c>
    </row>
    <row r="70" ht="14.25" customHeight="1">
      <c r="A70" s="5" t="s">
        <v>155</v>
      </c>
      <c r="B70" s="7">
        <f>47.66</f>
        <v>47.66</v>
      </c>
      <c r="C70" s="13">
        <f>31.51</f>
        <v>31.51</v>
      </c>
      <c r="D70" s="7">
        <f t="shared" si="8"/>
        <v>79.17</v>
      </c>
      <c r="F70" s="14">
        <v>0.05</v>
      </c>
    </row>
    <row r="71" ht="14.25" customHeight="1">
      <c r="A71" s="5" t="s">
        <v>156</v>
      </c>
      <c r="B71" s="7">
        <f t="shared" ref="B71:C71" si="25">310</f>
        <v>310</v>
      </c>
      <c r="C71" s="13">
        <f t="shared" si="25"/>
        <v>310</v>
      </c>
      <c r="D71" s="7">
        <f t="shared" si="8"/>
        <v>620</v>
      </c>
      <c r="F71" s="14">
        <v>0.05</v>
      </c>
      <c r="I71" s="14">
        <v>0.05</v>
      </c>
      <c r="J71" s="14" t="s">
        <v>157</v>
      </c>
    </row>
    <row r="72" ht="14.25" customHeight="1">
      <c r="A72" s="5" t="s">
        <v>158</v>
      </c>
      <c r="B72" s="7">
        <f t="shared" ref="B72:C72" si="26">170.54</f>
        <v>170.54</v>
      </c>
      <c r="C72" s="13">
        <f t="shared" si="26"/>
        <v>170.54</v>
      </c>
      <c r="D72" s="7">
        <f t="shared" si="8"/>
        <v>341.08</v>
      </c>
      <c r="F72" s="14">
        <v>0.05</v>
      </c>
      <c r="I72" s="14">
        <v>0.02</v>
      </c>
      <c r="J72" s="14" t="s">
        <v>159</v>
      </c>
    </row>
    <row r="73" ht="14.25" customHeight="1">
      <c r="A73" s="5" t="s">
        <v>160</v>
      </c>
      <c r="B73" s="7">
        <f>175.25</f>
        <v>175.25</v>
      </c>
      <c r="C73" s="13">
        <f>175.26</f>
        <v>175.26</v>
      </c>
      <c r="D73" s="7">
        <f t="shared" si="8"/>
        <v>350.51</v>
      </c>
      <c r="F73" s="14">
        <v>0.05</v>
      </c>
      <c r="I73" s="14">
        <v>0.01</v>
      </c>
      <c r="J73" s="14" t="s">
        <v>161</v>
      </c>
    </row>
    <row r="74" ht="14.25" customHeight="1">
      <c r="A74" s="5" t="s">
        <v>162</v>
      </c>
      <c r="B74" s="7">
        <f t="shared" ref="B74:C74" si="27">2149.43</f>
        <v>2149.43</v>
      </c>
      <c r="C74" s="13">
        <f t="shared" si="27"/>
        <v>2149.43</v>
      </c>
      <c r="D74" s="7">
        <f t="shared" si="8"/>
        <v>4298.86</v>
      </c>
      <c r="F74" s="14">
        <v>0.05</v>
      </c>
      <c r="I74" s="14">
        <v>0.05</v>
      </c>
      <c r="J74" s="14" t="s">
        <v>163</v>
      </c>
    </row>
    <row r="75" ht="14.25" customHeight="1">
      <c r="A75" s="5" t="s">
        <v>164</v>
      </c>
      <c r="B75" s="7">
        <f>82</f>
        <v>82</v>
      </c>
      <c r="C75" s="13">
        <f>73.25</f>
        <v>73.25</v>
      </c>
      <c r="D75" s="7">
        <f t="shared" si="8"/>
        <v>155.25</v>
      </c>
      <c r="F75" s="14">
        <v>0.15</v>
      </c>
      <c r="I75" s="14">
        <v>0.15</v>
      </c>
      <c r="J75" s="14" t="s">
        <v>165</v>
      </c>
    </row>
    <row r="76" ht="14.25" customHeight="1">
      <c r="A76" s="5" t="s">
        <v>166</v>
      </c>
      <c r="B76" s="8">
        <f t="shared" ref="B76:C76" si="28">(((((((B68)+(B69))+(B70))+(B71))+(B72))+(B73))+(B74))+(B75)</f>
        <v>3251.16</v>
      </c>
      <c r="C76" s="8">
        <f t="shared" si="28"/>
        <v>3226.27</v>
      </c>
      <c r="D76" s="8">
        <f t="shared" si="8"/>
        <v>6477.43</v>
      </c>
    </row>
    <row r="77" ht="14.25" customHeight="1">
      <c r="A77" s="5" t="s">
        <v>167</v>
      </c>
      <c r="B77" s="6"/>
      <c r="C77" s="6"/>
      <c r="D77" s="7">
        <f t="shared" si="8"/>
        <v>0</v>
      </c>
    </row>
    <row r="78" ht="14.25" customHeight="1">
      <c r="A78" s="5" t="s">
        <v>168</v>
      </c>
      <c r="B78" s="7">
        <f>122.45</f>
        <v>122.45</v>
      </c>
      <c r="C78" s="7">
        <f>652.88</f>
        <v>652.88</v>
      </c>
      <c r="D78" s="7">
        <f t="shared" si="8"/>
        <v>775.33</v>
      </c>
    </row>
    <row r="79" ht="14.25" customHeight="1">
      <c r="A79" s="5" t="s">
        <v>169</v>
      </c>
      <c r="B79" s="8">
        <f t="shared" ref="B79:C79" si="29">(B77)+(B78)</f>
        <v>122.45</v>
      </c>
      <c r="C79" s="8">
        <f t="shared" si="29"/>
        <v>652.88</v>
      </c>
      <c r="D79" s="8">
        <f t="shared" si="8"/>
        <v>775.33</v>
      </c>
    </row>
    <row r="80" ht="14.25" customHeight="1">
      <c r="A80" s="5" t="s">
        <v>170</v>
      </c>
      <c r="B80" s="6"/>
      <c r="C80" s="6"/>
      <c r="D80" s="7">
        <f t="shared" si="8"/>
        <v>0</v>
      </c>
    </row>
    <row r="81" ht="14.25" customHeight="1">
      <c r="A81" s="5" t="s">
        <v>171</v>
      </c>
      <c r="B81" s="7">
        <f>4533.5</f>
        <v>4533.5</v>
      </c>
      <c r="C81" s="17">
        <f>4111.5</f>
        <v>4111.5</v>
      </c>
      <c r="D81" s="7">
        <f t="shared" si="8"/>
        <v>8645</v>
      </c>
      <c r="F81" s="14">
        <v>0.05</v>
      </c>
      <c r="I81" s="14">
        <v>0.1</v>
      </c>
      <c r="J81" s="14" t="s">
        <v>172</v>
      </c>
    </row>
    <row r="82" ht="14.25" customHeight="1">
      <c r="A82" s="5" t="s">
        <v>173</v>
      </c>
      <c r="B82" s="7">
        <f t="shared" ref="B82:C82" si="30">1386.67</f>
        <v>1386.67</v>
      </c>
      <c r="C82" s="7">
        <f t="shared" si="30"/>
        <v>1386.67</v>
      </c>
      <c r="D82" s="7">
        <f t="shared" si="8"/>
        <v>2773.34</v>
      </c>
    </row>
    <row r="83" ht="14.25" customHeight="1">
      <c r="A83" s="5" t="s">
        <v>174</v>
      </c>
      <c r="B83" s="7">
        <f>1338.58</f>
        <v>1338.58</v>
      </c>
      <c r="C83" s="6"/>
      <c r="D83" s="7">
        <f t="shared" si="8"/>
        <v>1338.58</v>
      </c>
    </row>
    <row r="84" ht="14.25" customHeight="1">
      <c r="A84" s="5" t="s">
        <v>175</v>
      </c>
      <c r="B84" s="7">
        <f>2287.97</f>
        <v>2287.97</v>
      </c>
      <c r="C84" s="7">
        <f>-1942.03</f>
        <v>-1942.03</v>
      </c>
      <c r="D84" s="7">
        <f t="shared" si="8"/>
        <v>345.94</v>
      </c>
    </row>
    <row r="85" ht="14.25" customHeight="1">
      <c r="A85" s="5" t="s">
        <v>176</v>
      </c>
      <c r="B85" s="6"/>
      <c r="C85" s="7">
        <f>250</f>
        <v>250</v>
      </c>
      <c r="D85" s="7">
        <f t="shared" si="8"/>
        <v>250</v>
      </c>
    </row>
    <row r="86" ht="14.25" customHeight="1">
      <c r="A86" s="5" t="s">
        <v>177</v>
      </c>
      <c r="B86" s="8">
        <f t="shared" ref="B86:C86" si="31">(((((B80)+(B81))+(B82))+(B83))+(B84))+(B85)</f>
        <v>9546.72</v>
      </c>
      <c r="C86" s="8">
        <f t="shared" si="31"/>
        <v>3806.14</v>
      </c>
      <c r="D86" s="8">
        <f t="shared" si="8"/>
        <v>13352.86</v>
      </c>
    </row>
    <row r="87" ht="14.25" customHeight="1">
      <c r="A87" s="5" t="s">
        <v>178</v>
      </c>
      <c r="B87" s="6"/>
      <c r="C87" s="6"/>
      <c r="D87" s="7">
        <f t="shared" si="8"/>
        <v>0</v>
      </c>
    </row>
    <row r="88" ht="14.25" customHeight="1">
      <c r="A88" s="5" t="s">
        <v>179</v>
      </c>
      <c r="B88" s="7">
        <f>0</f>
        <v>0</v>
      </c>
      <c r="C88" s="7">
        <f>554.78</f>
        <v>554.78</v>
      </c>
      <c r="D88" s="7">
        <f t="shared" si="8"/>
        <v>554.78</v>
      </c>
    </row>
    <row r="89" ht="14.25" customHeight="1">
      <c r="A89" s="5" t="s">
        <v>180</v>
      </c>
      <c r="B89" s="7">
        <f>24.76</f>
        <v>24.76</v>
      </c>
      <c r="C89" s="7">
        <f>64.15</f>
        <v>64.15</v>
      </c>
      <c r="D89" s="7">
        <f t="shared" si="8"/>
        <v>88.91</v>
      </c>
    </row>
    <row r="90" ht="14.25" customHeight="1">
      <c r="A90" s="5" t="s">
        <v>181</v>
      </c>
      <c r="B90" s="7">
        <f>679.45</f>
        <v>679.45</v>
      </c>
      <c r="C90" s="13">
        <f>484.45</f>
        <v>484.45</v>
      </c>
      <c r="D90" s="7">
        <f t="shared" si="8"/>
        <v>1163.9</v>
      </c>
      <c r="F90" s="14">
        <v>0.15</v>
      </c>
    </row>
    <row r="91" ht="14.25" customHeight="1">
      <c r="A91" s="5" t="s">
        <v>182</v>
      </c>
      <c r="B91" s="7">
        <f t="shared" ref="B91:C91" si="32">30</f>
        <v>30</v>
      </c>
      <c r="C91" s="7">
        <f t="shared" si="32"/>
        <v>30</v>
      </c>
      <c r="D91" s="7">
        <f t="shared" si="8"/>
        <v>60</v>
      </c>
    </row>
    <row r="92" ht="14.25" customHeight="1">
      <c r="A92" s="5" t="s">
        <v>183</v>
      </c>
      <c r="B92" s="8">
        <f t="shared" ref="B92:C92" si="33">((((B87)+(B88))+(B89))+(B90))+(B91)</f>
        <v>734.21</v>
      </c>
      <c r="C92" s="8">
        <f t="shared" si="33"/>
        <v>1133.38</v>
      </c>
      <c r="D92" s="8">
        <f t="shared" si="8"/>
        <v>1867.59</v>
      </c>
    </row>
    <row r="93" ht="14.25" customHeight="1">
      <c r="A93" s="5" t="s">
        <v>184</v>
      </c>
      <c r="B93" s="8">
        <f t="shared" ref="B93:C93" si="34">((((((((((B32)+(B38))+(B43))+(B47))+(B55))+(B60))+(B67))+(B76))+(B79))+(B86))+(B92)</f>
        <v>87310.14</v>
      </c>
      <c r="C93" s="8">
        <f t="shared" si="34"/>
        <v>58460.14</v>
      </c>
      <c r="D93" s="8">
        <f t="shared" si="8"/>
        <v>145770.28</v>
      </c>
    </row>
    <row r="94" ht="14.25" customHeight="1">
      <c r="A94" s="5" t="s">
        <v>185</v>
      </c>
      <c r="B94" s="8">
        <f t="shared" ref="B94:C94" si="35">(B22)-(B93)</f>
        <v>-2062.29</v>
      </c>
      <c r="C94" s="8">
        <f t="shared" si="35"/>
        <v>42231.1</v>
      </c>
      <c r="D94" s="8">
        <f t="shared" si="8"/>
        <v>40168.81</v>
      </c>
    </row>
    <row r="95" ht="14.25" customHeight="1">
      <c r="A95" s="5" t="s">
        <v>186</v>
      </c>
      <c r="B95" s="6"/>
      <c r="C95" s="6"/>
      <c r="D95" s="6"/>
    </row>
    <row r="96" ht="14.25" customHeight="1">
      <c r="A96" s="5" t="s">
        <v>187</v>
      </c>
      <c r="B96" s="6"/>
      <c r="C96" s="6"/>
      <c r="D96" s="7">
        <f t="shared" ref="D96:D100" si="36">(B96)+(C96)</f>
        <v>0</v>
      </c>
    </row>
    <row r="97" ht="14.25" customHeight="1">
      <c r="A97" s="5" t="s">
        <v>188</v>
      </c>
      <c r="B97" s="6"/>
      <c r="C97" s="7">
        <f>15.14</f>
        <v>15.14</v>
      </c>
      <c r="D97" s="7">
        <f t="shared" si="36"/>
        <v>15.14</v>
      </c>
    </row>
    <row r="98" ht="14.25" customHeight="1">
      <c r="A98" s="5" t="s">
        <v>189</v>
      </c>
      <c r="B98" s="7">
        <f>424.76</f>
        <v>424.76</v>
      </c>
      <c r="C98" s="7">
        <f>495.58</f>
        <v>495.58</v>
      </c>
      <c r="D98" s="7">
        <f t="shared" si="36"/>
        <v>920.34</v>
      </c>
    </row>
    <row r="99" ht="14.25" customHeight="1">
      <c r="A99" s="5" t="s">
        <v>190</v>
      </c>
      <c r="B99" s="8">
        <f t="shared" ref="B99:C99" si="37">((B96)+(B97))+(B98)</f>
        <v>424.76</v>
      </c>
      <c r="C99" s="8">
        <f t="shared" si="37"/>
        <v>510.72</v>
      </c>
      <c r="D99" s="8">
        <f t="shared" si="36"/>
        <v>935.48</v>
      </c>
    </row>
    <row r="100" ht="14.25" customHeight="1">
      <c r="A100" s="5" t="s">
        <v>191</v>
      </c>
      <c r="B100" s="8">
        <f t="shared" ref="B100:C100" si="38">B99</f>
        <v>424.76</v>
      </c>
      <c r="C100" s="8">
        <f t="shared" si="38"/>
        <v>510.72</v>
      </c>
      <c r="D100" s="8">
        <f t="shared" si="36"/>
        <v>935.48</v>
      </c>
    </row>
    <row r="101" ht="14.25" customHeight="1">
      <c r="A101" s="5" t="s">
        <v>192</v>
      </c>
      <c r="B101" s="6"/>
      <c r="C101" s="6"/>
      <c r="D101" s="6"/>
    </row>
    <row r="102" ht="14.25" customHeight="1">
      <c r="A102" s="5" t="s">
        <v>193</v>
      </c>
      <c r="B102" s="6"/>
      <c r="C102" s="6"/>
      <c r="D102" s="7">
        <f t="shared" ref="D102:D108" si="40">(B102)+(C102)</f>
        <v>0</v>
      </c>
    </row>
    <row r="103" ht="14.25" customHeight="1">
      <c r="A103" s="5" t="s">
        <v>194</v>
      </c>
      <c r="B103" s="7">
        <f t="shared" ref="B103:C103" si="39">113.02</f>
        <v>113.02</v>
      </c>
      <c r="C103" s="13">
        <f t="shared" si="39"/>
        <v>113.02</v>
      </c>
      <c r="D103" s="7">
        <f t="shared" si="40"/>
        <v>226.04</v>
      </c>
      <c r="F103" s="14">
        <v>0.15</v>
      </c>
      <c r="I103" s="14">
        <v>0.05</v>
      </c>
      <c r="J103" s="14" t="s">
        <v>195</v>
      </c>
    </row>
    <row r="104" ht="14.25" customHeight="1">
      <c r="A104" s="5" t="s">
        <v>196</v>
      </c>
      <c r="B104" s="8">
        <f t="shared" ref="B104:C104" si="41">(B102)+(B103)</f>
        <v>113.02</v>
      </c>
      <c r="C104" s="8">
        <f t="shared" si="41"/>
        <v>113.02</v>
      </c>
      <c r="D104" s="8">
        <f t="shared" si="40"/>
        <v>226.04</v>
      </c>
    </row>
    <row r="105" ht="14.25" customHeight="1">
      <c r="A105" s="5" t="s">
        <v>197</v>
      </c>
      <c r="B105" s="7">
        <f t="shared" ref="B105:C105" si="42">0</f>
        <v>0</v>
      </c>
      <c r="C105" s="7">
        <f t="shared" si="42"/>
        <v>0</v>
      </c>
      <c r="D105" s="7">
        <f t="shared" si="40"/>
        <v>0</v>
      </c>
    </row>
    <row r="106" ht="14.25" customHeight="1">
      <c r="A106" s="5" t="s">
        <v>198</v>
      </c>
      <c r="B106" s="8">
        <f t="shared" ref="B106:C106" si="43">(B104)+(B105)</f>
        <v>113.02</v>
      </c>
      <c r="C106" s="8">
        <f t="shared" si="43"/>
        <v>113.02</v>
      </c>
      <c r="D106" s="8">
        <f t="shared" si="40"/>
        <v>226.04</v>
      </c>
    </row>
    <row r="107" ht="14.25" customHeight="1">
      <c r="A107" s="5" t="s">
        <v>199</v>
      </c>
      <c r="B107" s="8">
        <f t="shared" ref="B107:C107" si="44">(B100)-(B106)</f>
        <v>311.74</v>
      </c>
      <c r="C107" s="8">
        <f t="shared" si="44"/>
        <v>397.7</v>
      </c>
      <c r="D107" s="8">
        <f t="shared" si="40"/>
        <v>709.44</v>
      </c>
    </row>
    <row r="108" ht="14.25" customHeight="1">
      <c r="A108" s="5" t="s">
        <v>200</v>
      </c>
      <c r="B108" s="8">
        <f t="shared" ref="B108:C108" si="45">(B94)+(B107)</f>
        <v>-1750.55</v>
      </c>
      <c r="C108" s="8">
        <f t="shared" si="45"/>
        <v>42628.8</v>
      </c>
      <c r="D108" s="8">
        <f t="shared" si="40"/>
        <v>40878.25</v>
      </c>
    </row>
    <row r="109" ht="14.25" customHeight="1">
      <c r="A109" s="5"/>
      <c r="B109" s="6"/>
      <c r="C109" s="6"/>
      <c r="D109" s="6"/>
    </row>
    <row r="110" ht="14.25" customHeight="1"/>
    <row r="111" ht="14.25" customHeight="1"/>
    <row r="112" ht="14.25" customHeight="1">
      <c r="A112" s="9" t="s">
        <v>201</v>
      </c>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D1"/>
    <mergeCell ref="A2:D2"/>
    <mergeCell ref="A3:D3"/>
    <mergeCell ref="A112:D112"/>
  </mergeCells>
  <printOptions/>
  <pageMargins bottom="0.75" footer="0.0" header="0.0" left="0.7" right="0.7" top="0.75"/>
  <pageSetup orientation="landscape"/>
  <drawing r:id="rId1"/>
</worksheet>
</file>