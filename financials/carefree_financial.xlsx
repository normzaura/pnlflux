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alance Sheet"/>
    <sheet r:id="rId2" sheetId="2" name="Profit and Loss"/>
  </sheets>
  <calcPr fullCalcOnLoad="1"/>
</workbook>
</file>

<file path=xl/sharedStrings.xml><?xml version="1.0" encoding="utf-8"?>
<sst xmlns="http://schemas.openxmlformats.org/spreadsheetml/2006/main" count="156" uniqueCount="143">
  <si>
    <t>Carefree Newport</t>
  </si>
  <si>
    <t>Profit and Loss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</si>
  <si>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</si>
  <si>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</si>
  <si>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</si>
  <si>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</si>
  <si>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</si>
  <si>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</si>
  <si>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</si>
  <si>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</si>
  <si>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</si>
  <si>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</si>
  <si>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</si>
  <si>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</si>
  <si>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</si>
  <si>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</si>
  <si>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Income</t>
  </si>
  <si>
    <t xml:space="preserve">   40000 Monthly Membership Fees</t>
  </si>
  <si>
    <t xml:space="preserve">   41000 Initiation Fees</t>
  </si>
  <si>
    <t>Total Income</t>
  </si>
  <si>
    <t>Cost of Goods Sold</t>
  </si>
  <si>
    <t xml:space="preserve">   51000 Rent</t>
  </si>
  <si>
    <t xml:space="preserve">   52000 Boat Fuel</t>
  </si>
  <si>
    <t xml:space="preserve">   53000 Boat Repairs &amp; Maintenance</t>
  </si>
  <si>
    <t xml:space="preserve">      53001 Repairs &amp; Maintenance</t>
  </si>
  <si>
    <t xml:space="preserve">      53003 Supplies &amp; Parts</t>
  </si>
  <si>
    <t xml:space="preserve">   Total 53000 Boat Repairs &amp; Maintenance</t>
  </si>
  <si>
    <t xml:space="preserve">   54000 Direct Contract Labor</t>
  </si>
  <si>
    <t>Total Cost of Goods Sold</t>
  </si>
  <si>
    <t>Gross Profit</t>
  </si>
  <si>
    <t>Expenses</t>
  </si>
  <si>
    <t xml:space="preserve">   60000 Payroll Expenses</t>
  </si>
  <si>
    <t xml:space="preserve">      60001 Officer Wages</t>
  </si>
  <si>
    <t xml:space="preserve">      60002 Officer Bonus</t>
  </si>
  <si>
    <t xml:space="preserve">      60004 Officer Commissions</t>
  </si>
  <si>
    <t xml:space="preserve">      60005 Payroll Taxes</t>
  </si>
  <si>
    <t xml:space="preserve">      60006 Payroll Processing Fees</t>
  </si>
  <si>
    <t xml:space="preserve">      60007 Workers' Compensation</t>
  </si>
  <si>
    <t xml:space="preserve">   Total 60000 Payroll Expenses</t>
  </si>
  <si>
    <t xml:space="preserve">   60500 Advertising &amp; Marketing</t>
  </si>
  <si>
    <t xml:space="preserve">   61000 Auto Expenses</t>
  </si>
  <si>
    <t xml:space="preserve">      61001 Auto Fuel</t>
  </si>
  <si>
    <t xml:space="preserve">      61002 Auto Repairs &amp; Registration</t>
  </si>
  <si>
    <t xml:space="preserve">      61003 Parking &amp; Tolls</t>
  </si>
  <si>
    <t xml:space="preserve">   Total 61000 Auto Expenses</t>
  </si>
  <si>
    <t xml:space="preserve">   61500 Bank Fees &amp; Service Charges</t>
  </si>
  <si>
    <t xml:space="preserve">   62000 Business Licenses and Taxes</t>
  </si>
  <si>
    <t xml:space="preserve">   62500 Dues &amp; Subscriptions</t>
  </si>
  <si>
    <t xml:space="preserve">   63000 Insurance</t>
  </si>
  <si>
    <t xml:space="preserve">   63500 Legal &amp; Accounting Services</t>
  </si>
  <si>
    <t xml:space="preserve">   64000 Meals</t>
  </si>
  <si>
    <t xml:space="preserve">   64500 Merchant Account Fees</t>
  </si>
  <si>
    <t xml:space="preserve">   65000 Office Expenses and Shop Supplies</t>
  </si>
  <si>
    <t xml:space="preserve">   67000 Travel</t>
  </si>
  <si>
    <t>Total Expenses</t>
  </si>
  <si>
    <t>Net Operating Income</t>
  </si>
  <si>
    <t>Other Income</t>
  </si>
  <si>
    <t xml:space="preserve">   71000 Other Miscellaneous Income</t>
  </si>
  <si>
    <t>Total Other Income</t>
  </si>
  <si>
    <t>Other Expenses</t>
  </si>
  <si>
    <t xml:space="preserve">   81000 Other Miscellaneous Expense</t>
  </si>
  <si>
    <t xml:space="preserve">   82000 Interest Expense</t>
  </si>
  <si>
    <t xml:space="preserve">   83000 Depreciation Expenses</t>
  </si>
  <si>
    <t>Total Other Expenses</t>
  </si>
  <si>
    <t>Net Other Income</t>
  </si>
  <si>
    <t>Net Income</t>
  </si>
  <si>
    <t>Wednesday, Feb 04, 2026 01:38:43 AM GMT-8 - Accrual Basis</t>
  </si>
  <si>
    <t>Balance Sheet</t>
  </si>
  <si>
    <t>As of December 31, 2025</t>
  </si>
  <si>
    <t>ASSETS</t>
  </si>
  <si>
    <t xml:space="preserve">   Current Assets</t>
  </si>
  <si>
    <t xml:space="preserve">      Bank Accounts</t>
  </si>
  <si>
    <t xml:space="preserve">         10000 Business Adv Relationship - 1020</t>
  </si>
  <si>
    <t xml:space="preserve">      Total Bank Accounts</t>
  </si>
  <si>
    <t xml:space="preserve">      Accounts Receivable</t>
  </si>
  <si>
    <t xml:space="preserve">         11000 Accounts Receivable</t>
  </si>
  <si>
    <t xml:space="preserve">      Total Accounts Receivable</t>
  </si>
  <si>
    <t xml:space="preserve">      Other Current Assets</t>
  </si>
  <si>
    <t xml:space="preserve">         11600 Prepaid expenses</t>
  </si>
  <si>
    <t xml:space="preserve">      Total Other Current Assets</t>
  </si>
  <si>
    <t xml:space="preserve">   Total Current Assets</t>
  </si>
  <si>
    <t xml:space="preserve">   Fixed Assets</t>
  </si>
  <si>
    <t xml:space="preserve">      13000 Axopar Suntop 37</t>
  </si>
  <si>
    <t xml:space="preserve">      13100 Beneteau Flyer 9</t>
  </si>
  <si>
    <t xml:space="preserve">      13200 Manitou 25 Oasis</t>
  </si>
  <si>
    <t xml:space="preserve">      13400 NX 340 Sport Coupe</t>
  </si>
  <si>
    <t xml:space="preserve">      13500 Axopar T-Top 28</t>
  </si>
  <si>
    <t xml:space="preserve">      15000 Pacific Boat Club Fleet</t>
  </si>
  <si>
    <t xml:space="preserve">      15500 Accumulated Depreciation</t>
  </si>
  <si>
    <t xml:space="preserve">   Total Fixed Assets</t>
  </si>
  <si>
    <t xml:space="preserve">   Other Assets</t>
  </si>
  <si>
    <t xml:space="preserve">      17000 Goodwill</t>
  </si>
  <si>
    <t xml:space="preserve">      18000 Accumulated Amortization</t>
  </si>
  <si>
    <t xml:space="preserve">   Total Other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</si>
  <si>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</si>
  <si>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</si>
  <si>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</si>
  <si>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</si>
  <si>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Other Current Liabilities</t>
  </si>
  <si>
    <t xml:space="preserve">            21000 Accrued Expenses</t>
  </si>
  <si>
    <t xml:space="preserve">            21050 Accrued Interest</t>
  </si>
  <si>
    <t xml:space="preserve">            21100 Accrued Payroll</t>
  </si>
  <si>
    <t xml:space="preserve">               21101 Officer Wages Payable</t>
  </si>
  <si>
    <t xml:space="preserve">               21102 Contractor Wages Payable</t>
  </si>
  <si>
    <t xml:space="preserve">            Total 21100 Accrued Payroll</t>
  </si>
  <si>
    <t xml:space="preserve">            21125 Unearned Revenue</t>
  </si>
  <si>
    <t xml:space="preserve">            21150 Loan From Shareholder - CCM Integrated</t>
  </si>
  <si>
    <t xml:space="preserve">            21200 Loan From Shareholder - Carlos Roman</t>
  </si>
  <si>
    <t xml:space="preserve">            21300 Due To/From SoCal Nautical</t>
  </si>
  <si>
    <t xml:space="preserve">            21350 Insurance Payable</t>
  </si>
  <si>
    <t xml:space="preserve">            Short-term business loans</t>
  </si>
  <si>
    <t xml:space="preserve">               22000 ST - Axopar Suntop 37 Loan</t>
  </si>
  <si>
    <t xml:space="preserve">               22050 ST - Beneteau Flyer 9</t>
  </si>
  <si>
    <t xml:space="preserve">               22100 ST - Manitou 25 Oasis Loan</t>
  </si>
  <si>
    <t xml:space="preserve">               22150 ST - Scott Tiernan Note</t>
  </si>
  <si>
    <t xml:space="preserve">               22250 ST - NX 340 Sport Coupe Loan</t>
  </si>
  <si>
    <t xml:space="preserve">               22300 ST - Axopar T-Top 28 Loan</t>
  </si>
  <si>
    <t xml:space="preserve">               22350 ST - CCJ True, LLC Loan</t>
  </si>
  <si>
    <t xml:space="preserve">               22400 ST - CCJ True, LLC Loan (2)</t>
  </si>
  <si>
    <t xml:space="preserve">            Total Short-term business loans</t>
  </si>
  <si>
    <t xml:space="preserve">         Total Other Current Liabilities</t>
  </si>
  <si>
    <t xml:space="preserve">      Total Current Liabilities</t>
  </si>
  <si>
    <t xml:space="preserve">      Long-Term Liabilities</t>
  </si>
  <si>
    <t xml:space="preserve">         Long-term business loans</t>
  </si>
  <si>
    <t xml:space="preserve">            23000 LT - Axopar Suntop 37 Loan</t>
  </si>
  <si>
    <t xml:space="preserve">            23050 LT - Beneteau Flyer 9</t>
  </si>
  <si>
    <t xml:space="preserve">            23100 LT - Manitou 25 Oasis Loan</t>
  </si>
  <si>
    <t xml:space="preserve">            23250 LT - NX 340 Sport Coupe Loan</t>
  </si>
  <si>
    <t xml:space="preserve">            23300 LT - Axopar T-Top 28 Loan</t>
  </si>
  <si>
    <t xml:space="preserve">            23350 LT - CCJ True, LLC Loan</t>
  </si>
  <si>
    <t xml:space="preserve">            23400 LT - CCJ True, LLC Loan (2)</t>
  </si>
  <si>
    <t xml:space="preserve">         Total Long-term business loans</t>
  </si>
  <si>
    <t xml:space="preserve">      Total Long-Term Liabilities</t>
  </si>
  <si>
    <t xml:space="preserve">   Total Liabilities</t>
  </si>
  <si>
    <t xml:space="preserve">   Equity</t>
  </si>
  <si>
    <t xml:space="preserve">      30000 Paid In Capital - CCM</t>
  </si>
  <si>
    <t xml:space="preserve">      31000 Paid in Capital - SoCal Nautical</t>
  </si>
  <si>
    <t xml:space="preserve">      32000 Shareholder Distributions - CCM Integrated</t>
  </si>
  <si>
    <t xml:space="preserve">      34000 Retained Earnings</t>
  </si>
  <si>
    <t xml:space="preserve">      Net Income</t>
  </si>
  <si>
    <t xml:space="preserve">   Total Equity</t>
  </si>
  <si>
    <t>TOTAL LIABILITIES AND EQUITY</t>
  </si>
  <si>
    <t>Wednesday, Feb 04, 2026 01:38:35 AM GMT-8 - Accrual Basis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</si>
</sst>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center"/>
    </xf>
    <xf xfId="0" numFmtId="7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3" applyFont="1" fillId="0" applyAlignment="1">
      <alignment horizontal="left" wrapText="1"/>
    </xf>
    <xf xfId="0" numFmtId="7" applyNumberFormat="1" borderId="2" applyBorder="1" fontId="4" applyFont="1" fillId="0" applyAlignment="1">
      <alignment horizontal="center" wrapText="1"/>
    </xf>
    <xf xfId="0" numFmtId="7" applyNumberFormat="1" borderId="3" applyBorder="1" fontId="4" applyFont="1" fillId="2" applyFill="1" applyAlignment="1">
      <alignment horizontal="center" wrapText="1"/>
    </xf>
    <xf xfId="0" numFmtId="0" borderId="1" applyBorder="1" fontId="4" applyFont="1" fillId="0" applyAlignment="1">
      <alignment horizontal="center" wrapText="1"/>
    </xf>
    <xf xfId="0" numFmtId="0" borderId="1" applyBorder="1" fontId="5" applyFont="1" fillId="0" applyAlignment="1">
      <alignment horizontal="left" wrapText="1"/>
    </xf>
    <xf xfId="0" numFmtId="4" applyNumberFormat="1" borderId="1" applyBorder="1" fontId="6" applyFont="1" fillId="0" applyAlignment="1">
      <alignment horizontal="right" wrapText="1"/>
    </xf>
    <xf xfId="0" numFmtId="7" applyNumberFormat="1" borderId="4" applyBorder="1" fontId="5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/>
  </sheetViews>
  <sheetFormatPr defaultRowHeight="15" x14ac:dyDescent="0.25"/>
  <cols>
    <col min="1" max="1" style="15" width="34.86214285714286" customWidth="1" bestFit="1"/>
    <col min="2" max="2" style="16" width="12.005" customWidth="1" bestFit="1"/>
    <col min="3" max="3" style="16" width="12.005" customWidth="1" bestFit="1"/>
    <col min="4" max="4" style="16" width="12.005" customWidth="1" bestFit="1"/>
    <col min="5" max="5" style="16" width="12.005" customWidth="1" bestFit="1"/>
    <col min="6" max="6" style="16" width="12.005" customWidth="1" bestFit="1"/>
    <col min="7" max="7" style="16" width="12.005" customWidth="1" bestFit="1"/>
    <col min="8" max="8" style="16" width="12.005" customWidth="1" bestFit="1"/>
    <col min="9" max="9" style="16" width="12.005" customWidth="1" bestFit="1"/>
    <col min="10" max="10" style="16" width="12.005" customWidth="1" bestFit="1"/>
    <col min="11" max="11" style="16" width="12.005" customWidth="1" bestFit="1"/>
    <col min="12" max="12" style="16" width="12.005" customWidth="1" bestFit="1"/>
    <col min="13" max="13" style="16" width="12.005" customWidth="1" bestFit="1"/>
    <col min="14" max="14" style="17" width="32.43357142857143" customWidth="1" bestFit="1"/>
  </cols>
  <sheetData>
    <row x14ac:dyDescent="0.25" r="1" customHeight="1" ht="14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x14ac:dyDescent="0.25" r="2" customHeight="1" ht="14.25">
      <c r="A2" s="1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x14ac:dyDescent="0.25" r="3" customHeight="1" ht="14.25">
      <c r="A3" s="4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x14ac:dyDescent="0.25" r="4" customHeight="1" ht="14.25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x14ac:dyDescent="0.25" r="5" customHeight="1" ht="14.25" customFormat="1" s="6">
      <c r="A5" s="7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9" t="s">
        <v>14</v>
      </c>
      <c r="N5" s="10"/>
    </row>
    <row x14ac:dyDescent="0.25" r="6" customHeight="1" ht="14.25" customFormat="1" s="6">
      <c r="A6" s="11" t="s">
        <v>69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3"/>
    </row>
    <row x14ac:dyDescent="0.25" r="7" customHeight="1" ht="14.25" customFormat="1" s="6">
      <c r="A7" s="11" t="s">
        <v>70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3"/>
    </row>
    <row x14ac:dyDescent="0.25" r="8" customHeight="1" ht="14.25" customFormat="1" s="6">
      <c r="A8" s="11" t="s">
        <v>71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3"/>
    </row>
    <row x14ac:dyDescent="0.25" r="9" customHeight="1" ht="14.25" customFormat="1" s="6">
      <c r="A9" s="11" t="s">
        <v>72</v>
      </c>
      <c r="B9" s="12">
        <f>22323.83</f>
      </c>
      <c r="C9" s="12">
        <f>16604.39</f>
      </c>
      <c r="D9" s="12">
        <f>14458.01</f>
      </c>
      <c r="E9" s="12">
        <f>52656.96</f>
      </c>
      <c r="F9" s="12">
        <f>78917.64</f>
      </c>
      <c r="G9" s="12">
        <f>71816.83</f>
      </c>
      <c r="H9" s="12">
        <f>49183.12</f>
      </c>
      <c r="I9" s="12">
        <f>51150.2</f>
      </c>
      <c r="J9" s="12">
        <f>47757.84</f>
      </c>
      <c r="K9" s="12">
        <f>31241.99</f>
      </c>
      <c r="L9" s="12">
        <f>62443.29</f>
      </c>
      <c r="M9" s="12">
        <f>25944.2</f>
      </c>
      <c r="N9" s="3"/>
    </row>
    <row x14ac:dyDescent="0.25" r="10" customHeight="1" ht="14.25" customFormat="1" s="6">
      <c r="A10" s="11" t="s">
        <v>73</v>
      </c>
      <c r="B10" s="13">
        <f>B9</f>
      </c>
      <c r="C10" s="13">
        <f>C9</f>
      </c>
      <c r="D10" s="13">
        <f>D9</f>
      </c>
      <c r="E10" s="13">
        <f>E9</f>
      </c>
      <c r="F10" s="13">
        <f>F9</f>
      </c>
      <c r="G10" s="13">
        <f>G9</f>
      </c>
      <c r="H10" s="13">
        <f>H9</f>
      </c>
      <c r="I10" s="13">
        <f>I9</f>
      </c>
      <c r="J10" s="13">
        <f>J9</f>
      </c>
      <c r="K10" s="13">
        <f>K9</f>
      </c>
      <c r="L10" s="13">
        <f>L9</f>
      </c>
      <c r="M10" s="13">
        <f>M9</f>
      </c>
      <c r="N10" s="3"/>
    </row>
    <row x14ac:dyDescent="0.25" r="11" customHeight="1" ht="14.25" customFormat="1" s="6">
      <c r="A11" s="11" t="s">
        <v>74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3"/>
    </row>
    <row x14ac:dyDescent="0.25" r="12" customHeight="1" ht="14.25" customFormat="1" s="6">
      <c r="A12" s="11" t="s">
        <v>75</v>
      </c>
      <c r="B12" s="12">
        <f>0</f>
      </c>
      <c r="C12" s="12">
        <f>0</f>
      </c>
      <c r="D12" s="12">
        <f>3495</f>
      </c>
      <c r="E12" s="12">
        <f>0</f>
      </c>
      <c r="F12" s="12">
        <f>2433.47</f>
      </c>
      <c r="G12" s="12">
        <f>0</f>
      </c>
      <c r="H12" s="12">
        <f>2000</f>
      </c>
      <c r="I12" s="12">
        <f>0</f>
      </c>
      <c r="J12" s="12">
        <f>0</f>
      </c>
      <c r="K12" s="12">
        <f>1165</f>
      </c>
      <c r="L12" s="12">
        <f>0</f>
      </c>
      <c r="M12" s="12">
        <f>0</f>
      </c>
      <c r="N12" s="3"/>
    </row>
    <row x14ac:dyDescent="0.25" r="13" customHeight="1" ht="14.25" customFormat="1" s="6">
      <c r="A13" s="11" t="s">
        <v>76</v>
      </c>
      <c r="B13" s="13">
        <f>B12</f>
      </c>
      <c r="C13" s="13">
        <f>C12</f>
      </c>
      <c r="D13" s="13">
        <f>D12</f>
      </c>
      <c r="E13" s="13">
        <f>E12</f>
      </c>
      <c r="F13" s="13">
        <f>F12</f>
      </c>
      <c r="G13" s="13">
        <f>G12</f>
      </c>
      <c r="H13" s="13">
        <f>H12</f>
      </c>
      <c r="I13" s="13">
        <f>I12</f>
      </c>
      <c r="J13" s="13">
        <f>J12</f>
      </c>
      <c r="K13" s="13">
        <f>K12</f>
      </c>
      <c r="L13" s="13">
        <f>L12</f>
      </c>
      <c r="M13" s="13">
        <f>M12</f>
      </c>
      <c r="N13" s="3"/>
    </row>
    <row x14ac:dyDescent="0.25" r="14" customHeight="1" ht="14.25" customFormat="1" s="6">
      <c r="A14" s="11" t="s">
        <v>77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3"/>
    </row>
    <row x14ac:dyDescent="0.25" r="15" customHeight="1" ht="14.25" customFormat="1" s="6">
      <c r="A15" s="11" t="s">
        <v>78</v>
      </c>
      <c r="B15" s="12">
        <f>36491.78</f>
      </c>
      <c r="C15" s="12">
        <f>33174.35</f>
      </c>
      <c r="D15" s="12">
        <f>32144.61</f>
      </c>
      <c r="E15" s="12">
        <f>32410.06</f>
      </c>
      <c r="F15" s="12">
        <f>23222.06</f>
      </c>
      <c r="G15" s="12">
        <f>19904.63</f>
      </c>
      <c r="H15" s="12">
        <f>17746.26</f>
      </c>
      <c r="I15" s="12">
        <f>15783</f>
      </c>
      <c r="J15" s="12">
        <f>12128.85</f>
      </c>
      <c r="K15" s="12">
        <f>9581.7</f>
      </c>
      <c r="L15" s="12">
        <f>42770.82</f>
      </c>
      <c r="M15" s="12">
        <f>39826.63</f>
      </c>
      <c r="N15" s="3"/>
    </row>
    <row x14ac:dyDescent="0.25" r="16" customHeight="1" ht="14.25" customFormat="1" s="6">
      <c r="A16" s="11" t="s">
        <v>79</v>
      </c>
      <c r="B16" s="13">
        <f>B15</f>
      </c>
      <c r="C16" s="13">
        <f>C15</f>
      </c>
      <c r="D16" s="13">
        <f>D15</f>
      </c>
      <c r="E16" s="13">
        <f>E15</f>
      </c>
      <c r="F16" s="13">
        <f>F15</f>
      </c>
      <c r="G16" s="13">
        <f>G15</f>
      </c>
      <c r="H16" s="13">
        <f>H15</f>
      </c>
      <c r="I16" s="13">
        <f>I15</f>
      </c>
      <c r="J16" s="13">
        <f>J15</f>
      </c>
      <c r="K16" s="13">
        <f>K15</f>
      </c>
      <c r="L16" s="13">
        <f>L15</f>
      </c>
      <c r="M16" s="13">
        <f>M15</f>
      </c>
      <c r="N16" s="3"/>
    </row>
    <row x14ac:dyDescent="0.25" r="17" customHeight="1" ht="14.25" customFormat="1" s="6">
      <c r="A17" s="11" t="s">
        <v>80</v>
      </c>
      <c r="B17" s="13">
        <f>((B10)+(B13))+(B16)</f>
      </c>
      <c r="C17" s="13">
        <f>((C10)+(C13))+(C16)</f>
      </c>
      <c r="D17" s="13">
        <f>((D10)+(D13))+(D16)</f>
      </c>
      <c r="E17" s="13">
        <f>((E10)+(E13))+(E16)</f>
      </c>
      <c r="F17" s="13">
        <f>((F10)+(F13))+(F16)</f>
      </c>
      <c r="G17" s="13">
        <f>((G10)+(G13))+(G16)</f>
      </c>
      <c r="H17" s="13">
        <f>((H10)+(H13))+(H16)</f>
      </c>
      <c r="I17" s="13">
        <f>((I10)+(I13))+(I16)</f>
      </c>
      <c r="J17" s="13">
        <f>((J10)+(J13))+(J16)</f>
      </c>
      <c r="K17" s="13">
        <f>((K10)+(K13))+(K16)</f>
      </c>
      <c r="L17" s="13">
        <f>((L10)+(L13))+(L16)</f>
      </c>
      <c r="M17" s="13">
        <f>((M10)+(M13))+(M16)</f>
      </c>
      <c r="N17" s="3"/>
    </row>
    <row x14ac:dyDescent="0.25" r="18" customHeight="1" ht="14.25" customFormat="1" s="6">
      <c r="A18" s="11" t="s">
        <v>81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3"/>
    </row>
    <row x14ac:dyDescent="0.25" r="19" customHeight="1" ht="14.25" customFormat="1" s="6">
      <c r="A19" s="11" t="s">
        <v>82</v>
      </c>
      <c r="B19" s="12">
        <f>269900</f>
      </c>
      <c r="C19" s="12">
        <f>B19</f>
      </c>
      <c r="D19" s="12">
        <f>C19</f>
      </c>
      <c r="E19" s="12">
        <f>D19</f>
      </c>
      <c r="F19" s="12">
        <f>E19</f>
      </c>
      <c r="G19" s="12">
        <f>F19</f>
      </c>
      <c r="H19" s="12">
        <f>G19</f>
      </c>
      <c r="I19" s="12">
        <f>H19</f>
      </c>
      <c r="J19" s="12">
        <f>I19</f>
      </c>
      <c r="K19" s="12">
        <f>J19</f>
      </c>
      <c r="L19" s="12">
        <f>K19</f>
      </c>
      <c r="M19" s="12">
        <f>L19</f>
      </c>
      <c r="N19" s="3"/>
    </row>
    <row x14ac:dyDescent="0.25" r="20" customHeight="1" ht="14.25" customFormat="1" s="6">
      <c r="A20" s="11" t="s">
        <v>83</v>
      </c>
      <c r="B20" s="12">
        <f>263992.78</f>
      </c>
      <c r="C20" s="12">
        <f>B20</f>
      </c>
      <c r="D20" s="12">
        <f>C20</f>
      </c>
      <c r="E20" s="12">
        <f>D20</f>
      </c>
      <c r="F20" s="12">
        <f>E20</f>
      </c>
      <c r="G20" s="12">
        <f>F20</f>
      </c>
      <c r="H20" s="12">
        <f>G20</f>
      </c>
      <c r="I20" s="12">
        <f>H20</f>
      </c>
      <c r="J20" s="12">
        <f>I20</f>
      </c>
      <c r="K20" s="12">
        <f>J20</f>
      </c>
      <c r="L20" s="12">
        <f>K20</f>
      </c>
      <c r="M20" s="12">
        <f>L20</f>
      </c>
      <c r="N20" s="3"/>
    </row>
    <row x14ac:dyDescent="0.25" r="21" customHeight="1" ht="14.25" customFormat="1" s="6">
      <c r="A21" s="11" t="s">
        <v>84</v>
      </c>
      <c r="B21" s="12">
        <f>66464</f>
      </c>
      <c r="C21" s="12">
        <f>B21</f>
      </c>
      <c r="D21" s="12">
        <f>C21</f>
      </c>
      <c r="E21" s="12">
        <f>D21</f>
      </c>
      <c r="F21" s="12">
        <f>E21</f>
      </c>
      <c r="G21" s="12">
        <f>F21</f>
      </c>
      <c r="H21" s="12">
        <f>G21</f>
      </c>
      <c r="I21" s="12">
        <f>H21</f>
      </c>
      <c r="J21" s="12">
        <f>I21</f>
      </c>
      <c r="K21" s="12">
        <f>J21</f>
      </c>
      <c r="L21" s="12">
        <f>K21</f>
      </c>
      <c r="M21" s="12">
        <f>L21</f>
      </c>
      <c r="N21" s="3"/>
    </row>
    <row x14ac:dyDescent="0.25" r="22" customHeight="1" ht="14.25" customFormat="1" s="6">
      <c r="A22" s="11" t="s">
        <v>85</v>
      </c>
      <c r="B22" s="12">
        <f>272754.5</f>
      </c>
      <c r="C22" s="12">
        <f>B22</f>
      </c>
      <c r="D22" s="12">
        <f>C22</f>
      </c>
      <c r="E22" s="12">
        <f>D22</f>
      </c>
      <c r="F22" s="12">
        <f>E22</f>
      </c>
      <c r="G22" s="12">
        <f>F22</f>
      </c>
      <c r="H22" s="12">
        <f>G22</f>
      </c>
      <c r="I22" s="12">
        <f>H22</f>
      </c>
      <c r="J22" s="12">
        <f>I22</f>
      </c>
      <c r="K22" s="12">
        <f>J22</f>
      </c>
      <c r="L22" s="12">
        <f>K22</f>
      </c>
      <c r="M22" s="12">
        <f>L22</f>
      </c>
      <c r="N22" s="3"/>
    </row>
    <row x14ac:dyDescent="0.25" r="23" customHeight="1" ht="14.25" customFormat="1" s="6">
      <c r="A23" s="11" t="s">
        <v>86</v>
      </c>
      <c r="B23" s="12">
        <f>140000</f>
      </c>
      <c r="C23" s="12">
        <f>B23</f>
      </c>
      <c r="D23" s="12">
        <f>C23</f>
      </c>
      <c r="E23" s="12">
        <f>D23</f>
      </c>
      <c r="F23" s="12">
        <f>E23</f>
      </c>
      <c r="G23" s="12">
        <f>F23</f>
      </c>
      <c r="H23" s="12">
        <f>G23</f>
      </c>
      <c r="I23" s="12">
        <f>H23</f>
      </c>
      <c r="J23" s="12">
        <f>I23</f>
      </c>
      <c r="K23" s="12">
        <f>J23</f>
      </c>
      <c r="L23" s="12">
        <f>K23</f>
      </c>
      <c r="M23" s="12">
        <f>L23</f>
      </c>
      <c r="N23" s="3"/>
    </row>
    <row x14ac:dyDescent="0.25" r="24" customHeight="1" ht="14.25" customFormat="1" s="6">
      <c r="A24" s="11" t="s">
        <v>87</v>
      </c>
      <c r="B24" s="12">
        <f>68219.69</f>
      </c>
      <c r="C24" s="12">
        <f>B24</f>
      </c>
      <c r="D24" s="12">
        <f>C24</f>
      </c>
      <c r="E24" s="12">
        <f>D24</f>
      </c>
      <c r="F24" s="12">
        <f>E24</f>
      </c>
      <c r="G24" s="12">
        <f>F24</f>
      </c>
      <c r="H24" s="12">
        <f>G24</f>
      </c>
      <c r="I24" s="12">
        <f>H24</f>
      </c>
      <c r="J24" s="12">
        <f>I24</f>
      </c>
      <c r="K24" s="12">
        <f>J24</f>
      </c>
      <c r="L24" s="12">
        <f>K24</f>
      </c>
      <c r="M24" s="12">
        <f>L24</f>
      </c>
      <c r="N24" s="3"/>
    </row>
    <row x14ac:dyDescent="0.25" r="25" customHeight="1" ht="14.25" customFormat="1" s="6">
      <c r="A25" s="11" t="s">
        <v>88</v>
      </c>
      <c r="B25" s="12">
        <f>-387960.42</f>
      </c>
      <c r="C25" s="12">
        <f>-400924.1</f>
      </c>
      <c r="D25" s="12">
        <f>-413887.78</f>
      </c>
      <c r="E25" s="12">
        <f>-426851.46</f>
      </c>
      <c r="F25" s="12">
        <f>-439815.14</f>
      </c>
      <c r="G25" s="12">
        <f>-452778.82</f>
      </c>
      <c r="H25" s="12">
        <f>-465742.5</f>
      </c>
      <c r="I25" s="12">
        <f>-478706.18</f>
      </c>
      <c r="J25" s="12">
        <f>-491669.86</f>
      </c>
      <c r="K25" s="12">
        <f>-504633.54</f>
      </c>
      <c r="L25" s="12">
        <f>-517597.22</f>
      </c>
      <c r="M25" s="12">
        <f>-530560.9</f>
      </c>
      <c r="N25" s="3"/>
    </row>
    <row x14ac:dyDescent="0.25" r="26" customHeight="1" ht="14.25" customFormat="1" s="6">
      <c r="A26" s="11" t="s">
        <v>89</v>
      </c>
      <c r="B26" s="13">
        <f>((((((B19)+(B20))+(B21))+(B22))+(B23))+(B24))+(B25)</f>
      </c>
      <c r="C26" s="13">
        <f>((((((C19)+(C20))+(C21))+(C22))+(C23))+(C24))+(C25)</f>
      </c>
      <c r="D26" s="13">
        <f>((((((D19)+(D20))+(D21))+(D22))+(D23))+(D24))+(D25)</f>
      </c>
      <c r="E26" s="13">
        <f>((((((E19)+(E20))+(E21))+(E22))+(E23))+(E24))+(E25)</f>
      </c>
      <c r="F26" s="13">
        <f>((((((F19)+(F20))+(F21))+(F22))+(F23))+(F24))+(F25)</f>
      </c>
      <c r="G26" s="13">
        <f>((((((G19)+(G20))+(G21))+(G22))+(G23))+(G24))+(G25)</f>
      </c>
      <c r="H26" s="13">
        <f>((((((H19)+(H20))+(H21))+(H22))+(H23))+(H24))+(H25)</f>
      </c>
      <c r="I26" s="13">
        <f>((((((I19)+(I20))+(I21))+(I22))+(I23))+(I24))+(I25)</f>
      </c>
      <c r="J26" s="13">
        <f>((((((J19)+(J20))+(J21))+(J22))+(J23))+(J24))+(J25)</f>
      </c>
      <c r="K26" s="13">
        <f>((((((K19)+(K20))+(K21))+(K22))+(K23))+(K24))+(K25)</f>
      </c>
      <c r="L26" s="13">
        <f>((((((L19)+(L20))+(L21))+(L22))+(L23))+(L24))+(L25)</f>
      </c>
      <c r="M26" s="13">
        <f>((((((M19)+(M20))+(M21))+(M22))+(M23))+(M24))+(M25)</f>
      </c>
      <c r="N26" s="3"/>
    </row>
    <row x14ac:dyDescent="0.25" r="27" customHeight="1" ht="14.25" customFormat="1" s="6">
      <c r="A27" s="11" t="s">
        <v>90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3"/>
    </row>
    <row x14ac:dyDescent="0.25" r="28" customHeight="1" ht="14.25" customFormat="1" s="6">
      <c r="A28" s="11" t="s">
        <v>91</v>
      </c>
      <c r="B28" s="12">
        <f>174500</f>
      </c>
      <c r="C28" s="12">
        <f>B28</f>
      </c>
      <c r="D28" s="12">
        <f>C28</f>
      </c>
      <c r="E28" s="12">
        <f>D28</f>
      </c>
      <c r="F28" s="12">
        <f>E28</f>
      </c>
      <c r="G28" s="12">
        <f>F28</f>
      </c>
      <c r="H28" s="12">
        <f>G28</f>
      </c>
      <c r="I28" s="12">
        <f>H28</f>
      </c>
      <c r="J28" s="12">
        <f>I28</f>
      </c>
      <c r="K28" s="12">
        <f>J28</f>
      </c>
      <c r="L28" s="12">
        <f>K28</f>
      </c>
      <c r="M28" s="12">
        <f>L28</f>
      </c>
      <c r="N28" s="3"/>
    </row>
    <row x14ac:dyDescent="0.25" r="29" customHeight="1" ht="14.25" customFormat="1" s="6">
      <c r="A29" s="11" t="s">
        <v>92</v>
      </c>
      <c r="B29" s="12">
        <f>-40698</f>
      </c>
      <c r="C29" s="12">
        <f>-41667</f>
      </c>
      <c r="D29" s="12">
        <f>-42636</f>
      </c>
      <c r="E29" s="12">
        <f>-43605</f>
      </c>
      <c r="F29" s="12">
        <f>-44574</f>
      </c>
      <c r="G29" s="12">
        <f>-45543</f>
      </c>
      <c r="H29" s="12">
        <f>-46512</f>
      </c>
      <c r="I29" s="12">
        <f>-47481</f>
      </c>
      <c r="J29" s="12">
        <f>-48450</f>
      </c>
      <c r="K29" s="12">
        <f>-49419</f>
      </c>
      <c r="L29" s="12">
        <f>-50388</f>
      </c>
      <c r="M29" s="12">
        <f>-51357</f>
      </c>
      <c r="N29" s="3"/>
    </row>
    <row x14ac:dyDescent="0.25" r="30" customHeight="1" ht="14.25" customFormat="1" s="6">
      <c r="A30" s="11" t="s">
        <v>93</v>
      </c>
      <c r="B30" s="13">
        <f>(B28)+(B29)</f>
      </c>
      <c r="C30" s="13">
        <f>(C28)+(C29)</f>
      </c>
      <c r="D30" s="13">
        <f>(D28)+(D29)</f>
      </c>
      <c r="E30" s="13">
        <f>(E28)+(E29)</f>
      </c>
      <c r="F30" s="13">
        <f>(F28)+(F29)</f>
      </c>
      <c r="G30" s="13">
        <f>(G28)+(G29)</f>
      </c>
      <c r="H30" s="13">
        <f>(H28)+(H29)</f>
      </c>
      <c r="I30" s="13">
        <f>(I28)+(I29)</f>
      </c>
      <c r="J30" s="13">
        <f>(J28)+(J29)</f>
      </c>
      <c r="K30" s="13">
        <f>(K28)+(K29)</f>
      </c>
      <c r="L30" s="13">
        <f>(L28)+(L29)</f>
      </c>
      <c r="M30" s="13">
        <f>(M28)+(M29)</f>
      </c>
      <c r="N30" s="3"/>
    </row>
    <row x14ac:dyDescent="0.25" r="31" customHeight="1" ht="14.25" customFormat="1" s="6">
      <c r="A31" s="11" t="s">
        <v>94</v>
      </c>
      <c r="B31" s="13">
        <f>((B17)+(B26))+(B30)</f>
      </c>
      <c r="C31" s="13">
        <f>((C17)+(C26))+(C30)</f>
      </c>
      <c r="D31" s="13">
        <f>((D17)+(D26))+(D30)</f>
      </c>
      <c r="E31" s="13">
        <f>((E17)+(E26))+(E30)</f>
      </c>
      <c r="F31" s="13">
        <f>((F17)+(F26))+(F30)</f>
      </c>
      <c r="G31" s="13">
        <f>((G17)+(G26))+(G30)</f>
      </c>
      <c r="H31" s="13">
        <f>((H17)+(H26))+(H30)</f>
      </c>
      <c r="I31" s="13">
        <f>((I17)+(I26))+(I30)</f>
      </c>
      <c r="J31" s="13">
        <f>((J17)+(J26))+(J30)</f>
      </c>
      <c r="K31" s="13">
        <f>((K17)+(K26))+(K30)</f>
      </c>
      <c r="L31" s="13">
        <f>((L17)+(L26))+(L30)</f>
      </c>
      <c r="M31" s="13">
        <f>((M17)+(M26))+(M30)</f>
      </c>
      <c r="N31" s="3"/>
    </row>
    <row x14ac:dyDescent="0.25" r="32" customHeight="1" ht="14.25" customFormat="1" s="6">
      <c r="A32" s="11" t="s">
        <v>95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3"/>
    </row>
    <row x14ac:dyDescent="0.25" r="33" customHeight="1" ht="14.25" customFormat="1" s="6">
      <c r="A33" s="11" t="s">
        <v>96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3"/>
    </row>
    <row x14ac:dyDescent="0.25" r="34" customHeight="1" ht="14.25" customFormat="1" s="6">
      <c r="A34" s="11" t="s">
        <v>97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3"/>
    </row>
    <row x14ac:dyDescent="0.25" r="35" customHeight="1" ht="14.25" customFormat="1" s="6">
      <c r="A35" s="11" t="s">
        <v>98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3"/>
    </row>
    <row x14ac:dyDescent="0.25" r="36" customHeight="1" ht="14.25" customFormat="1" s="6">
      <c r="A36" s="11" t="s">
        <v>99</v>
      </c>
      <c r="B36" s="12">
        <f>12795.5</f>
      </c>
      <c r="C36" s="12">
        <f>13732.82</f>
      </c>
      <c r="D36" s="12">
        <f>13907.57</f>
      </c>
      <c r="E36" s="12">
        <f>3487.07</f>
      </c>
      <c r="F36" s="12">
        <f>3618.41</f>
      </c>
      <c r="G36" s="12">
        <f>4736.66</f>
      </c>
      <c r="H36" s="12">
        <f>4543.32</f>
      </c>
      <c r="I36" s="12">
        <f>4543.32</f>
      </c>
      <c r="J36" s="12">
        <f>4087.07</f>
      </c>
      <c r="K36" s="12">
        <f>4087.07</f>
      </c>
      <c r="L36" s="12">
        <f>4555.73</f>
      </c>
      <c r="M36" s="12">
        <f>3149.75</f>
      </c>
      <c r="N36" s="3"/>
    </row>
    <row x14ac:dyDescent="0.25" r="37" customHeight="1" ht="14.25" customFormat="1" s="6">
      <c r="A37" s="11" t="s">
        <v>100</v>
      </c>
      <c r="B37" s="12">
        <f>1723.55</f>
      </c>
      <c r="C37" s="12">
        <f>906.02</f>
      </c>
      <c r="D37" s="12">
        <f>1076.15</f>
      </c>
      <c r="E37" s="12">
        <f>1247.6</f>
      </c>
      <c r="F37" s="12">
        <f>221.47</f>
      </c>
      <c r="G37" s="12">
        <f>242.18</f>
      </c>
      <c r="H37" s="12">
        <f>712.99</f>
      </c>
      <c r="I37" s="12">
        <f>736.54</f>
      </c>
      <c r="J37" s="12">
        <f>748.71</f>
      </c>
      <c r="K37" s="12">
        <f>760.9</f>
      </c>
      <c r="L37" s="12">
        <f>4121.84</f>
      </c>
      <c r="M37" s="12">
        <f>794.17</f>
      </c>
      <c r="N37" s="3"/>
    </row>
    <row x14ac:dyDescent="0.25" r="38" customHeight="1" ht="14.25" customFormat="1" s="6">
      <c r="A38" s="11" t="s">
        <v>101</v>
      </c>
      <c r="B38" s="12">
        <f>0</f>
      </c>
      <c r="C38" s="12">
        <f>B38</f>
      </c>
      <c r="D38" s="12">
        <f>C38</f>
      </c>
      <c r="E38" s="12">
        <f>D38</f>
      </c>
      <c r="F38" s="12">
        <f>E38</f>
      </c>
      <c r="G38" s="12">
        <f>F38</f>
      </c>
      <c r="H38" s="12">
        <f>G38</f>
      </c>
      <c r="I38" s="12">
        <f>H38</f>
      </c>
      <c r="J38" s="12">
        <f>I38</f>
      </c>
      <c r="K38" s="12">
        <f>J38</f>
      </c>
      <c r="L38" s="12">
        <f>K38</f>
      </c>
      <c r="M38" s="12">
        <f>L38</f>
      </c>
      <c r="N38" s="3"/>
    </row>
    <row x14ac:dyDescent="0.25" r="39" customHeight="1" ht="14.25" customFormat="1" s="6">
      <c r="A39" s="11" t="s">
        <v>102</v>
      </c>
      <c r="B39" s="12">
        <f>32245.52</f>
      </c>
      <c r="C39" s="12">
        <f>B39</f>
      </c>
      <c r="D39" s="12">
        <f>C39</f>
      </c>
      <c r="E39" s="12">
        <f>2245.52</f>
      </c>
      <c r="F39" s="12">
        <f>E39</f>
      </c>
      <c r="G39" s="12">
        <f>4936.77</f>
      </c>
      <c r="H39" s="12">
        <f>2245.52</f>
      </c>
      <c r="I39" s="12">
        <f>H39</f>
      </c>
      <c r="J39" s="12">
        <f>I39</f>
      </c>
      <c r="K39" s="12">
        <f>J39</f>
      </c>
      <c r="L39" s="12">
        <f>7645.52</f>
      </c>
      <c r="M39" s="12">
        <f>2245.52</f>
      </c>
      <c r="N39" s="3"/>
    </row>
    <row x14ac:dyDescent="0.25" r="40" customHeight="1" ht="14.25" customFormat="1" s="6">
      <c r="A40" s="11" t="s">
        <v>103</v>
      </c>
      <c r="B40" s="12">
        <f>6676.98</f>
      </c>
      <c r="C40" s="12">
        <f>6685.55</f>
      </c>
      <c r="D40" s="12">
        <f>7214.34</f>
      </c>
      <c r="E40" s="12">
        <f>10077.62</f>
      </c>
      <c r="F40" s="12">
        <f>7884.18</f>
      </c>
      <c r="G40" s="12">
        <f>8957.84</f>
      </c>
      <c r="H40" s="12">
        <f>8592.17</f>
      </c>
      <c r="I40" s="12">
        <f>9596.33</f>
      </c>
      <c r="J40" s="12">
        <f>8009.04</f>
      </c>
      <c r="K40" s="12">
        <f>8737.03</f>
      </c>
      <c r="L40" s="12">
        <f>7431.36</f>
      </c>
      <c r="M40" s="12">
        <f>7930.81</f>
      </c>
      <c r="N40" s="3"/>
    </row>
    <row x14ac:dyDescent="0.25" r="41" customHeight="1" ht="14.25" customFormat="1" s="6">
      <c r="A41" s="11" t="s">
        <v>104</v>
      </c>
      <c r="B41" s="13">
        <f>((B38)+(B39))+(B40)</f>
      </c>
      <c r="C41" s="13">
        <f>((C38)+(C39))+(C40)</f>
      </c>
      <c r="D41" s="13">
        <f>((D38)+(D39))+(D40)</f>
      </c>
      <c r="E41" s="13">
        <f>((E38)+(E39))+(E40)</f>
      </c>
      <c r="F41" s="13">
        <f>((F38)+(F39))+(F40)</f>
      </c>
      <c r="G41" s="13">
        <f>((G38)+(G39))+(G40)</f>
      </c>
      <c r="H41" s="13">
        <f>((H38)+(H39))+(H40)</f>
      </c>
      <c r="I41" s="13">
        <f>((I38)+(I39))+(I40)</f>
      </c>
      <c r="J41" s="13">
        <f>((J38)+(J39))+(J40)</f>
      </c>
      <c r="K41" s="13">
        <f>((K38)+(K39))+(K40)</f>
      </c>
      <c r="L41" s="13">
        <f>((L38)+(L39))+(L40)</f>
      </c>
      <c r="M41" s="13">
        <f>((M38)+(M39))+(M40)</f>
      </c>
      <c r="N41" s="3"/>
    </row>
    <row x14ac:dyDescent="0.25" r="42" customHeight="1" ht="14.25" customFormat="1" s="6">
      <c r="A42" s="11" t="s">
        <v>105</v>
      </c>
      <c r="B42" s="12">
        <f>521495.59</f>
      </c>
      <c r="C42" s="12">
        <f>498018.67</f>
      </c>
      <c r="D42" s="12">
        <f>485955.09</f>
      </c>
      <c r="E42" s="12">
        <f>490456.92</f>
      </c>
      <c r="F42" s="12">
        <f>539975.84</f>
      </c>
      <c r="G42" s="12">
        <f>515829.76</f>
      </c>
      <c r="H42" s="12">
        <f>493350.34</f>
      </c>
      <c r="I42" s="12">
        <f>480025.92</f>
      </c>
      <c r="J42" s="12">
        <f>477999.84</f>
      </c>
      <c r="K42" s="12">
        <f>456951.67</f>
      </c>
      <c r="L42" s="12">
        <f>452682.67</f>
      </c>
      <c r="M42" s="12">
        <f>442379.08</f>
      </c>
      <c r="N42" s="3"/>
    </row>
    <row x14ac:dyDescent="0.25" r="43" customHeight="1" ht="14.25" customFormat="1" s="6">
      <c r="A43" s="11" t="s">
        <v>106</v>
      </c>
      <c r="B43" s="12">
        <f>26221.5</f>
      </c>
      <c r="C43" s="12">
        <f>B43</f>
      </c>
      <c r="D43" s="12">
        <f>C43</f>
      </c>
      <c r="E43" s="12">
        <f>D43</f>
      </c>
      <c r="F43" s="12">
        <f>E43</f>
      </c>
      <c r="G43" s="12">
        <f>F43</f>
      </c>
      <c r="H43" s="12">
        <f>G43</f>
      </c>
      <c r="I43" s="12">
        <f>H43</f>
      </c>
      <c r="J43" s="12">
        <f>I43</f>
      </c>
      <c r="K43" s="12">
        <f>J43</f>
      </c>
      <c r="L43" s="12">
        <f>K43</f>
      </c>
      <c r="M43" s="12">
        <f>L43</f>
      </c>
      <c r="N43" s="3"/>
    </row>
    <row x14ac:dyDescent="0.25" r="44" customHeight="1" ht="14.25" customFormat="1" s="6">
      <c r="A44" s="11" t="s">
        <v>107</v>
      </c>
      <c r="B44" s="12">
        <f>76779.64</f>
      </c>
      <c r="C44" s="12">
        <f>81345.81</f>
      </c>
      <c r="D44" s="12">
        <f>88463.16</f>
      </c>
      <c r="E44" s="12">
        <f>82938.04</f>
      </c>
      <c r="F44" s="12">
        <f>71778.33</f>
      </c>
      <c r="G44" s="12">
        <f>72634.73</f>
      </c>
      <c r="H44" s="12">
        <f>74027.88</f>
      </c>
      <c r="I44" s="12">
        <f>74442.79</f>
      </c>
      <c r="J44" s="12">
        <f>70687.95</f>
      </c>
      <c r="K44" s="12">
        <f>68161.46</f>
      </c>
      <c r="L44" s="12">
        <f>70450.12</f>
      </c>
      <c r="M44" s="12">
        <f>55668.06</f>
      </c>
      <c r="N44" s="3"/>
    </row>
    <row x14ac:dyDescent="0.25" r="45" customHeight="1" ht="14.25" customFormat="1" s="6">
      <c r="A45" s="11" t="s">
        <v>108</v>
      </c>
      <c r="B45" s="12">
        <f>44461.06</f>
      </c>
      <c r="C45" s="12">
        <f>45161.06</f>
      </c>
      <c r="D45" s="12">
        <f>48694.45</f>
      </c>
      <c r="E45" s="12">
        <f>49163.11</f>
      </c>
      <c r="F45" s="12">
        <f>51031.77</f>
      </c>
      <c r="G45" s="12">
        <f>51500.43</f>
      </c>
      <c r="H45" s="12">
        <f>51969.09</f>
      </c>
      <c r="I45" s="12">
        <f>52437.75</f>
      </c>
      <c r="J45" s="12">
        <f>52906.41</f>
      </c>
      <c r="K45" s="12">
        <f>53375.07</f>
      </c>
      <c r="L45" s="12">
        <f>K45</f>
      </c>
      <c r="M45" s="12">
        <f>L45</f>
      </c>
      <c r="N45" s="3"/>
    </row>
    <row x14ac:dyDescent="0.25" r="46" customHeight="1" ht="14.25" customFormat="1" s="6">
      <c r="A46" s="11" t="s">
        <v>109</v>
      </c>
      <c r="B46" s="12">
        <f>30665.87</f>
      </c>
      <c r="C46" s="12">
        <f>27388.12</f>
      </c>
      <c r="D46" s="12">
        <f>24080.74</f>
      </c>
      <c r="E46" s="12">
        <f>20743.45</f>
      </c>
      <c r="F46" s="12">
        <f>17375.99</f>
      </c>
      <c r="G46" s="12">
        <f>13978.08</f>
      </c>
      <c r="H46" s="12">
        <f>10549.45</f>
      </c>
      <c r="I46" s="12">
        <f>7089.82</f>
      </c>
      <c r="J46" s="12">
        <f>3598.91</f>
      </c>
      <c r="K46" s="12">
        <f>-746.05</f>
      </c>
      <c r="L46" s="12">
        <f>31127.18</f>
      </c>
      <c r="M46" s="12">
        <f>L46</f>
      </c>
      <c r="N46" s="3"/>
    </row>
    <row x14ac:dyDescent="0.25" r="47" customHeight="1" ht="14.25" customFormat="1" s="6">
      <c r="A47" s="11" t="s">
        <v>110</v>
      </c>
      <c r="B47" s="12"/>
      <c r="C47" s="12">
        <f>B47</f>
      </c>
      <c r="D47" s="12">
        <f>C47</f>
      </c>
      <c r="E47" s="12">
        <f>D47</f>
      </c>
      <c r="F47" s="12">
        <f>E47</f>
      </c>
      <c r="G47" s="12">
        <f>F47</f>
      </c>
      <c r="H47" s="12">
        <f>G47</f>
      </c>
      <c r="I47" s="12">
        <f>H47</f>
      </c>
      <c r="J47" s="12">
        <f>I47</f>
      </c>
      <c r="K47" s="12">
        <f>J47</f>
      </c>
      <c r="L47" s="12">
        <f>K47</f>
      </c>
      <c r="M47" s="12">
        <f>L47</f>
      </c>
      <c r="N47" s="3"/>
    </row>
    <row x14ac:dyDescent="0.25" r="48" customHeight="1" ht="14.25" customFormat="1" s="6">
      <c r="A48" s="11" t="s">
        <v>111</v>
      </c>
      <c r="B48" s="12">
        <f>58574.54</f>
      </c>
      <c r="C48" s="12">
        <f>59111.47</f>
      </c>
      <c r="D48" s="12">
        <f>59653.33</f>
      </c>
      <c r="E48" s="12">
        <f>0</f>
      </c>
      <c r="F48" s="12">
        <f>E48</f>
      </c>
      <c r="G48" s="12">
        <f>F48</f>
      </c>
      <c r="H48" s="12">
        <f>G48</f>
      </c>
      <c r="I48" s="12">
        <f>H48</f>
      </c>
      <c r="J48" s="12">
        <f>I48</f>
      </c>
      <c r="K48" s="12">
        <f>J48</f>
      </c>
      <c r="L48" s="12">
        <f>K48</f>
      </c>
      <c r="M48" s="12">
        <f>L48</f>
      </c>
      <c r="N48" s="3"/>
    </row>
    <row x14ac:dyDescent="0.25" r="49" customHeight="1" ht="14.25" customFormat="1" s="6">
      <c r="A49" s="11" t="s">
        <v>112</v>
      </c>
      <c r="B49" s="12">
        <f>50834.27</f>
      </c>
      <c r="C49" s="12">
        <f>51300.25</f>
      </c>
      <c r="D49" s="12">
        <f>51770.5</f>
      </c>
      <c r="E49" s="12">
        <f>0</f>
      </c>
      <c r="F49" s="12">
        <f>E49</f>
      </c>
      <c r="G49" s="12">
        <f>F49</f>
      </c>
      <c r="H49" s="12">
        <f>G49</f>
      </c>
      <c r="I49" s="12">
        <f>H49</f>
      </c>
      <c r="J49" s="12">
        <f>I49</f>
      </c>
      <c r="K49" s="12">
        <f>J49</f>
      </c>
      <c r="L49" s="12">
        <f>K49</f>
      </c>
      <c r="M49" s="12">
        <f>L49</f>
      </c>
      <c r="N49" s="3"/>
    </row>
    <row x14ac:dyDescent="0.25" r="50" customHeight="1" ht="14.25" customFormat="1" s="6">
      <c r="A50" s="11" t="s">
        <v>113</v>
      </c>
      <c r="B50" s="12">
        <f>20173.29</f>
      </c>
      <c r="C50" s="12">
        <f>17209.78</f>
      </c>
      <c r="D50" s="12">
        <f>C50</f>
      </c>
      <c r="E50" s="12">
        <f>D50</f>
      </c>
      <c r="F50" s="12">
        <f>0</f>
      </c>
      <c r="G50" s="12">
        <f>F50</f>
      </c>
      <c r="H50" s="12">
        <f>G50</f>
      </c>
      <c r="I50" s="12">
        <f>H50</f>
      </c>
      <c r="J50" s="12">
        <f>I50</f>
      </c>
      <c r="K50" s="12">
        <f>J50</f>
      </c>
      <c r="L50" s="12">
        <f>K50</f>
      </c>
      <c r="M50" s="12">
        <f>L50</f>
      </c>
      <c r="N50" s="3"/>
    </row>
    <row x14ac:dyDescent="0.25" r="51" customHeight="1" ht="14.25" customFormat="1" s="6">
      <c r="A51" s="11" t="s">
        <v>114</v>
      </c>
      <c r="B51" s="12">
        <f>5990.53</f>
      </c>
      <c r="C51" s="12">
        <f>B51</f>
      </c>
      <c r="D51" s="12">
        <f>C51</f>
      </c>
      <c r="E51" s="12">
        <f>D51</f>
      </c>
      <c r="F51" s="12">
        <f>E51</f>
      </c>
      <c r="G51" s="12">
        <f>F51</f>
      </c>
      <c r="H51" s="12">
        <f>G51</f>
      </c>
      <c r="I51" s="12">
        <f>H51</f>
      </c>
      <c r="J51" s="12">
        <f>I51</f>
      </c>
      <c r="K51" s="12">
        <f>J51</f>
      </c>
      <c r="L51" s="12">
        <f>K51</f>
      </c>
      <c r="M51" s="12">
        <f>L51</f>
      </c>
      <c r="N51" s="3"/>
    </row>
    <row x14ac:dyDescent="0.25" r="52" customHeight="1" ht="14.25" customFormat="1" s="6">
      <c r="A52" s="11" t="s">
        <v>115</v>
      </c>
      <c r="B52" s="12">
        <f>52330.71</f>
      </c>
      <c r="C52" s="12">
        <f>52723.19</f>
      </c>
      <c r="D52" s="12">
        <f>53118.61</f>
      </c>
      <c r="E52" s="12">
        <f>0</f>
      </c>
      <c r="F52" s="12">
        <f>E52</f>
      </c>
      <c r="G52" s="12">
        <f>F52</f>
      </c>
      <c r="H52" s="12">
        <f>G52</f>
      </c>
      <c r="I52" s="12">
        <f>H52</f>
      </c>
      <c r="J52" s="12">
        <f>I52</f>
      </c>
      <c r="K52" s="12">
        <f>J52</f>
      </c>
      <c r="L52" s="12">
        <f>K52</f>
      </c>
      <c r="M52" s="12">
        <f>L52</f>
      </c>
      <c r="N52" s="3"/>
    </row>
    <row x14ac:dyDescent="0.25" r="53" customHeight="1" ht="14.25" customFormat="1" s="6">
      <c r="A53" s="11" t="s">
        <v>116</v>
      </c>
      <c r="B53" s="12">
        <f>23121.45</f>
      </c>
      <c r="C53" s="12">
        <f>23411.23</f>
      </c>
      <c r="D53" s="12">
        <f>23645.34</f>
      </c>
      <c r="E53" s="12">
        <f>0</f>
      </c>
      <c r="F53" s="12">
        <f>E53</f>
      </c>
      <c r="G53" s="12">
        <f>F53</f>
      </c>
      <c r="H53" s="12">
        <f>G53</f>
      </c>
      <c r="I53" s="12">
        <f>H53</f>
      </c>
      <c r="J53" s="12">
        <f>I53</f>
      </c>
      <c r="K53" s="12">
        <f>J53</f>
      </c>
      <c r="L53" s="12">
        <f>K53</f>
      </c>
      <c r="M53" s="12">
        <f>L53</f>
      </c>
      <c r="N53" s="3"/>
    </row>
    <row x14ac:dyDescent="0.25" r="54" customHeight="1" ht="14.25" customFormat="1" s="6">
      <c r="A54" s="11" t="s">
        <v>117</v>
      </c>
      <c r="B54" s="12"/>
      <c r="C54" s="12">
        <f>B54</f>
      </c>
      <c r="D54" s="12">
        <f>C54</f>
      </c>
      <c r="E54" s="12">
        <f>124939.93</f>
      </c>
      <c r="F54" s="12">
        <f>125628.2</f>
      </c>
      <c r="G54" s="12">
        <f>126320.22</f>
      </c>
      <c r="H54" s="12">
        <f>127016.02</f>
      </c>
      <c r="I54" s="12">
        <f>127715.62</f>
      </c>
      <c r="J54" s="12">
        <f>128419.05</f>
      </c>
      <c r="K54" s="12">
        <f>129126.32</f>
      </c>
      <c r="L54" s="12">
        <f>128908.44</f>
      </c>
      <c r="M54" s="12">
        <f>130327.01</f>
      </c>
      <c r="N54" s="3"/>
    </row>
    <row x14ac:dyDescent="0.25" r="55" customHeight="1" ht="14.25" customFormat="1" s="6">
      <c r="A55" s="11" t="s">
        <v>118</v>
      </c>
      <c r="B55" s="12"/>
      <c r="C55" s="12">
        <f>B55</f>
      </c>
      <c r="D55" s="12">
        <f>C55</f>
      </c>
      <c r="E55" s="12">
        <f>17791.66</f>
      </c>
      <c r="F55" s="12">
        <f>17889.67</f>
      </c>
      <c r="G55" s="12">
        <f>17988.21</f>
      </c>
      <c r="H55" s="12">
        <f>17976.07</f>
      </c>
      <c r="I55" s="12">
        <f>18075.09</f>
      </c>
      <c r="J55" s="12">
        <f>18124.33</f>
      </c>
      <c r="K55" s="12">
        <f>18232.82</f>
      </c>
      <c r="L55" s="12">
        <f>18137.63</f>
      </c>
      <c r="M55" s="12">
        <f>18327.44</f>
      </c>
      <c r="N55" s="3"/>
    </row>
    <row x14ac:dyDescent="0.25" r="56" customHeight="1" ht="14.25" customFormat="1" s="6">
      <c r="A56" s="11" t="s">
        <v>119</v>
      </c>
      <c r="B56" s="13">
        <f>((((((((B47)+(B48))+(B49))+(B50))+(B51))+(B52))+(B53))+(B54))+(B55)</f>
      </c>
      <c r="C56" s="13">
        <f>((((((((C47)+(C48))+(C49))+(C50))+(C51))+(C52))+(C53))+(C54))+(C55)</f>
      </c>
      <c r="D56" s="13">
        <f>((((((((D47)+(D48))+(D49))+(D50))+(D51))+(D52))+(D53))+(D54))+(D55)</f>
      </c>
      <c r="E56" s="13">
        <f>((((((((E47)+(E48))+(E49))+(E50))+(E51))+(E52))+(E53))+(E54))+(E55)</f>
      </c>
      <c r="F56" s="13">
        <f>((((((((F47)+(F48))+(F49))+(F50))+(F51))+(F52))+(F53))+(F54))+(F55)</f>
      </c>
      <c r="G56" s="13">
        <f>((((((((G47)+(G48))+(G49))+(G50))+(G51))+(G52))+(G53))+(G54))+(G55)</f>
      </c>
      <c r="H56" s="13">
        <f>((((((((H47)+(H48))+(H49))+(H50))+(H51))+(H52))+(H53))+(H54))+(H55)</f>
      </c>
      <c r="I56" s="13">
        <f>((((((((I47)+(I48))+(I49))+(I50))+(I51))+(I52))+(I53))+(I54))+(I55)</f>
      </c>
      <c r="J56" s="13">
        <f>((((((((J47)+(J48))+(J49))+(J50))+(J51))+(J52))+(J53))+(J54))+(J55)</f>
      </c>
      <c r="K56" s="13">
        <f>((((((((K47)+(K48))+(K49))+(K50))+(K51))+(K52))+(K53))+(K54))+(K55)</f>
      </c>
      <c r="L56" s="13">
        <f>((((((((L47)+(L48))+(L49))+(L50))+(L51))+(L52))+(L53))+(L54))+(L55)</f>
      </c>
      <c r="M56" s="13">
        <f>((((((((M47)+(M48))+(M49))+(M50))+(M51))+(M52))+(M53))+(M54))+(M55)</f>
      </c>
      <c r="N56" s="3"/>
    </row>
    <row x14ac:dyDescent="0.25" r="57" customHeight="1" ht="14.25" customFormat="1" s="6">
      <c r="A57" s="11" t="s">
        <v>120</v>
      </c>
      <c r="B57" s="13">
        <f>((((((((B36)+(B37))+(B41))+(B42))+(B43))+(B44))+(B45))+(B46))+(B56)</f>
      </c>
      <c r="C57" s="13">
        <f>((((((((C36)+(C37))+(C41))+(C42))+(C43))+(C44))+(C45))+(C46))+(C56)</f>
      </c>
      <c r="D57" s="13">
        <f>((((((((D36)+(D37))+(D41))+(D42))+(D43))+(D44))+(D45))+(D46))+(D56)</f>
      </c>
      <c r="E57" s="13">
        <f>((((((((E36)+(E37))+(E41))+(E42))+(E43))+(E44))+(E45))+(E46))+(E56)</f>
      </c>
      <c r="F57" s="13">
        <f>((((((((F36)+(F37))+(F41))+(F42))+(F43))+(F44))+(F45))+(F46))+(F56)</f>
      </c>
      <c r="G57" s="13">
        <f>((((((((G36)+(G37))+(G41))+(G42))+(G43))+(G44))+(G45))+(G46))+(G56)</f>
      </c>
      <c r="H57" s="13">
        <f>((((((((H36)+(H37))+(H41))+(H42))+(H43))+(H44))+(H45))+(H46))+(H56)</f>
      </c>
      <c r="I57" s="13">
        <f>((((((((I36)+(I37))+(I41))+(I42))+(I43))+(I44))+(I45))+(I46))+(I56)</f>
      </c>
      <c r="J57" s="13">
        <f>((((((((J36)+(J37))+(J41))+(J42))+(J43))+(J44))+(J45))+(J46))+(J56)</f>
      </c>
      <c r="K57" s="13">
        <f>((((((((K36)+(K37))+(K41))+(K42))+(K43))+(K44))+(K45))+(K46))+(K56)</f>
      </c>
      <c r="L57" s="13">
        <f>((((((((L36)+(L37))+(L41))+(L42))+(L43))+(L44))+(L45))+(L46))+(L56)</f>
      </c>
      <c r="M57" s="13">
        <f>((((((((M36)+(M37))+(M41))+(M42))+(M43))+(M44))+(M45))+(M46))+(M56)</f>
      </c>
      <c r="N57" s="3"/>
    </row>
    <row x14ac:dyDescent="0.25" r="58" customHeight="1" ht="14.25" customFormat="1" s="6">
      <c r="A58" s="11" t="s">
        <v>121</v>
      </c>
      <c r="B58" s="13">
        <f>B57</f>
      </c>
      <c r="C58" s="13">
        <f>C57</f>
      </c>
      <c r="D58" s="13">
        <f>D57</f>
      </c>
      <c r="E58" s="13">
        <f>E57</f>
      </c>
      <c r="F58" s="13">
        <f>F57</f>
      </c>
      <c r="G58" s="13">
        <f>G57</f>
      </c>
      <c r="H58" s="13">
        <f>H57</f>
      </c>
      <c r="I58" s="13">
        <f>I57</f>
      </c>
      <c r="J58" s="13">
        <f>J57</f>
      </c>
      <c r="K58" s="13">
        <f>K57</f>
      </c>
      <c r="L58" s="13">
        <f>L57</f>
      </c>
      <c r="M58" s="13">
        <f>M57</f>
      </c>
      <c r="N58" s="3"/>
    </row>
    <row x14ac:dyDescent="0.25" r="59" customHeight="1" ht="14.25" customFormat="1" s="6">
      <c r="A59" s="11" t="s">
        <v>122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3"/>
    </row>
    <row x14ac:dyDescent="0.25" r="60" customHeight="1" ht="14.25" customFormat="1" s="6">
      <c r="A60" s="11" t="s">
        <v>123</v>
      </c>
      <c r="B60" s="12"/>
      <c r="C60" s="12">
        <f>B60</f>
      </c>
      <c r="D60" s="12">
        <f>C60</f>
      </c>
      <c r="E60" s="12">
        <f>D60</f>
      </c>
      <c r="F60" s="12">
        <f>E60</f>
      </c>
      <c r="G60" s="12">
        <f>F60</f>
      </c>
      <c r="H60" s="12">
        <f>G60</f>
      </c>
      <c r="I60" s="12">
        <f>H60</f>
      </c>
      <c r="J60" s="12">
        <f>I60</f>
      </c>
      <c r="K60" s="12">
        <f>J60</f>
      </c>
      <c r="L60" s="12">
        <f>K60</f>
      </c>
      <c r="M60" s="12">
        <f>L60</f>
      </c>
      <c r="N60" s="3"/>
    </row>
    <row x14ac:dyDescent="0.25" r="61" customHeight="1" ht="14.25" customFormat="1" s="6">
      <c r="A61" s="11" t="s">
        <v>124</v>
      </c>
      <c r="B61" s="12">
        <f>82774.37</f>
      </c>
      <c r="C61" s="12">
        <f>77597.46</f>
      </c>
      <c r="D61" s="12">
        <f>72373.09</f>
      </c>
      <c r="E61" s="12">
        <f>0</f>
      </c>
      <c r="F61" s="12">
        <f>E61</f>
      </c>
      <c r="G61" s="12">
        <f>F61</f>
      </c>
      <c r="H61" s="12">
        <f>G61</f>
      </c>
      <c r="I61" s="12">
        <f>H61</f>
      </c>
      <c r="J61" s="12">
        <f>I61</f>
      </c>
      <c r="K61" s="12">
        <f>J61</f>
      </c>
      <c r="L61" s="12">
        <f>K61</f>
      </c>
      <c r="M61" s="12">
        <f>L61</f>
      </c>
      <c r="N61" s="3"/>
    </row>
    <row x14ac:dyDescent="0.25" r="62" customHeight="1" ht="14.25" customFormat="1" s="6">
      <c r="A62" s="11" t="s">
        <v>125</v>
      </c>
      <c r="B62" s="12">
        <f>72014.52</f>
      </c>
      <c r="C62" s="12">
        <f>67521.7</f>
      </c>
      <c r="D62" s="12">
        <f>62987.7</f>
      </c>
      <c r="E62" s="12">
        <f>0</f>
      </c>
      <c r="F62" s="12">
        <f>E62</f>
      </c>
      <c r="G62" s="12">
        <f>F62</f>
      </c>
      <c r="H62" s="12">
        <f>G62</f>
      </c>
      <c r="I62" s="12">
        <f>H62</f>
      </c>
      <c r="J62" s="12">
        <f>I62</f>
      </c>
      <c r="K62" s="12">
        <f>J62</f>
      </c>
      <c r="L62" s="12">
        <f>K62</f>
      </c>
      <c r="M62" s="12">
        <f>L62</f>
      </c>
      <c r="N62" s="3"/>
    </row>
    <row x14ac:dyDescent="0.25" r="63" customHeight="1" ht="14.25" customFormat="1" s="6">
      <c r="A63" s="11" t="s">
        <v>126</v>
      </c>
      <c r="B63" s="12">
        <f>129.72</f>
      </c>
      <c r="C63" s="12">
        <f>0</f>
      </c>
      <c r="D63" s="12">
        <f>C63</f>
      </c>
      <c r="E63" s="12">
        <f>D63</f>
      </c>
      <c r="F63" s="12">
        <f>E63</f>
      </c>
      <c r="G63" s="12">
        <f>F63</f>
      </c>
      <c r="H63" s="12">
        <f>G63</f>
      </c>
      <c r="I63" s="12">
        <f>H63</f>
      </c>
      <c r="J63" s="12">
        <f>I63</f>
      </c>
      <c r="K63" s="12">
        <f>J63</f>
      </c>
      <c r="L63" s="12">
        <f>K63</f>
      </c>
      <c r="M63" s="12">
        <f>L63</f>
      </c>
      <c r="N63" s="3"/>
    </row>
    <row x14ac:dyDescent="0.25" r="64" customHeight="1" ht="14.25" customFormat="1" s="6">
      <c r="A64" s="11" t="s">
        <v>127</v>
      </c>
      <c r="B64" s="12">
        <f>144737.62</f>
      </c>
      <c r="C64" s="12">
        <f>140161.22</f>
      </c>
      <c r="D64" s="12">
        <f>135550.5</f>
      </c>
      <c r="E64" s="12">
        <f>0</f>
      </c>
      <c r="F64" s="12">
        <f>E64</f>
      </c>
      <c r="G64" s="12">
        <f>F64</f>
      </c>
      <c r="H64" s="12">
        <f>G64</f>
      </c>
      <c r="I64" s="12">
        <f>H64</f>
      </c>
      <c r="J64" s="12">
        <f>I64</f>
      </c>
      <c r="K64" s="12">
        <f>J64</f>
      </c>
      <c r="L64" s="12">
        <f>K64</f>
      </c>
      <c r="M64" s="12">
        <f>L64</f>
      </c>
      <c r="N64" s="3"/>
    </row>
    <row x14ac:dyDescent="0.25" r="65" customHeight="1" ht="14.25" customFormat="1" s="6">
      <c r="A65" s="11" t="s">
        <v>128</v>
      </c>
      <c r="B65" s="12">
        <f>74799.69</f>
      </c>
      <c r="C65" s="12">
        <f>72274.07</f>
      </c>
      <c r="D65" s="12">
        <f>70194.01</f>
      </c>
      <c r="E65" s="12">
        <f>0</f>
      </c>
      <c r="F65" s="12">
        <f>E65</f>
      </c>
      <c r="G65" s="12">
        <f>F65</f>
      </c>
      <c r="H65" s="12">
        <f>G65</f>
      </c>
      <c r="I65" s="12">
        <f>H65</f>
      </c>
      <c r="J65" s="12">
        <f>I65</f>
      </c>
      <c r="K65" s="12">
        <f>J65</f>
      </c>
      <c r="L65" s="12">
        <f>K65</f>
      </c>
      <c r="M65" s="12">
        <f>L65</f>
      </c>
      <c r="N65" s="3"/>
    </row>
    <row x14ac:dyDescent="0.25" r="66" customHeight="1" ht="14.25" customFormat="1" s="6">
      <c r="A66" s="11" t="s">
        <v>129</v>
      </c>
      <c r="B66" s="12"/>
      <c r="C66" s="12">
        <f>B66</f>
      </c>
      <c r="D66" s="12">
        <f>C66</f>
      </c>
      <c r="E66" s="12">
        <f>420038.94</f>
      </c>
      <c r="F66" s="12">
        <f>409269.17</f>
      </c>
      <c r="G66" s="12">
        <f>398434.91</f>
      </c>
      <c r="H66" s="12">
        <f>387535.76</f>
      </c>
      <c r="I66" s="12">
        <f>376571.33</f>
      </c>
      <c r="J66" s="12">
        <f>365541.23</f>
      </c>
      <c r="K66" s="12">
        <f>354445.07</f>
      </c>
      <c r="L66" s="12">
        <f>354662.95</f>
      </c>
      <c r="M66" s="12">
        <f>332358.97</f>
      </c>
      <c r="N66" s="3"/>
    </row>
    <row x14ac:dyDescent="0.25" r="67" customHeight="1" ht="14.25" customFormat="1" s="6">
      <c r="A67" s="11" t="s">
        <v>130</v>
      </c>
      <c r="B67" s="12"/>
      <c r="C67" s="12">
        <f>B67</f>
      </c>
      <c r="D67" s="12">
        <f>C67</f>
      </c>
      <c r="E67" s="12">
        <f>59781.31</f>
      </c>
      <c r="F67" s="12">
        <f>58247.68</f>
      </c>
      <c r="G67" s="12">
        <f>56704.87</f>
      </c>
      <c r="H67" s="12">
        <f>56717.01</f>
      </c>
      <c r="I67" s="12">
        <f>55165.02</f>
      </c>
      <c r="J67" s="12">
        <f>53665.52</f>
      </c>
      <c r="K67" s="12">
        <f>52098.03</f>
      </c>
      <c r="L67" s="12">
        <f>52193.22</f>
      </c>
      <c r="M67" s="12">
        <f>49058.99</f>
      </c>
      <c r="N67" s="3"/>
    </row>
    <row x14ac:dyDescent="0.25" r="68" customHeight="1" ht="14.25" customFormat="1" s="6">
      <c r="A68" s="11" t="s">
        <v>131</v>
      </c>
      <c r="B68" s="13">
        <f>(((((((B60)+(B61))+(B62))+(B63))+(B64))+(B65))+(B66))+(B67)</f>
      </c>
      <c r="C68" s="13">
        <f>(((((((C60)+(C61))+(C62))+(C63))+(C64))+(C65))+(C66))+(C67)</f>
      </c>
      <c r="D68" s="13">
        <f>(((((((D60)+(D61))+(D62))+(D63))+(D64))+(D65))+(D66))+(D67)</f>
      </c>
      <c r="E68" s="13">
        <f>(((((((E60)+(E61))+(E62))+(E63))+(E64))+(E65))+(E66))+(E67)</f>
      </c>
      <c r="F68" s="13">
        <f>(((((((F60)+(F61))+(F62))+(F63))+(F64))+(F65))+(F66))+(F67)</f>
      </c>
      <c r="G68" s="13">
        <f>(((((((G60)+(G61))+(G62))+(G63))+(G64))+(G65))+(G66))+(G67)</f>
      </c>
      <c r="H68" s="13">
        <f>(((((((H60)+(H61))+(H62))+(H63))+(H64))+(H65))+(H66))+(H67)</f>
      </c>
      <c r="I68" s="13">
        <f>(((((((I60)+(I61))+(I62))+(I63))+(I64))+(I65))+(I66))+(I67)</f>
      </c>
      <c r="J68" s="13">
        <f>(((((((J60)+(J61))+(J62))+(J63))+(J64))+(J65))+(J66))+(J67)</f>
      </c>
      <c r="K68" s="13">
        <f>(((((((K60)+(K61))+(K62))+(K63))+(K64))+(K65))+(K66))+(K67)</f>
      </c>
      <c r="L68" s="13">
        <f>(((((((L60)+(L61))+(L62))+(L63))+(L64))+(L65))+(L66))+(L67)</f>
      </c>
      <c r="M68" s="13">
        <f>(((((((M60)+(M61))+(M62))+(M63))+(M64))+(M65))+(M66))+(M67)</f>
      </c>
      <c r="N68" s="3"/>
    </row>
    <row x14ac:dyDescent="0.25" r="69" customHeight="1" ht="14.25" customFormat="1" s="6">
      <c r="A69" s="11" t="s">
        <v>132</v>
      </c>
      <c r="B69" s="13">
        <f>B68</f>
      </c>
      <c r="C69" s="13">
        <f>C68</f>
      </c>
      <c r="D69" s="13">
        <f>D68</f>
      </c>
      <c r="E69" s="13">
        <f>E68</f>
      </c>
      <c r="F69" s="13">
        <f>F68</f>
      </c>
      <c r="G69" s="13">
        <f>G68</f>
      </c>
      <c r="H69" s="13">
        <f>H68</f>
      </c>
      <c r="I69" s="13">
        <f>I68</f>
      </c>
      <c r="J69" s="13">
        <f>J68</f>
      </c>
      <c r="K69" s="13">
        <f>K68</f>
      </c>
      <c r="L69" s="13">
        <f>L68</f>
      </c>
      <c r="M69" s="13">
        <f>M68</f>
      </c>
      <c r="N69" s="3"/>
    </row>
    <row x14ac:dyDescent="0.25" r="70" customHeight="1" ht="14.25" customFormat="1" s="6">
      <c r="A70" s="11" t="s">
        <v>133</v>
      </c>
      <c r="B70" s="13">
        <f>(B58)+(B69)</f>
      </c>
      <c r="C70" s="13">
        <f>(C58)+(C69)</f>
      </c>
      <c r="D70" s="13">
        <f>(D58)+(D69)</f>
      </c>
      <c r="E70" s="13">
        <f>(E58)+(E69)</f>
      </c>
      <c r="F70" s="13">
        <f>(F58)+(F69)</f>
      </c>
      <c r="G70" s="13">
        <f>(G58)+(G69)</f>
      </c>
      <c r="H70" s="13">
        <f>(H58)+(H69)</f>
      </c>
      <c r="I70" s="13">
        <f>(I58)+(I69)</f>
      </c>
      <c r="J70" s="13">
        <f>(J58)+(J69)</f>
      </c>
      <c r="K70" s="13">
        <f>(K58)+(K69)</f>
      </c>
      <c r="L70" s="13">
        <f>(L58)+(L69)</f>
      </c>
      <c r="M70" s="13">
        <f>(M58)+(M69)</f>
      </c>
      <c r="N70" s="3"/>
    </row>
    <row x14ac:dyDescent="0.25" r="71" customHeight="1" ht="14.25" customFormat="1" s="6">
      <c r="A71" s="11" t="s">
        <v>134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3"/>
    </row>
    <row x14ac:dyDescent="0.25" r="72" customHeight="1" ht="14.25" customFormat="1" s="6">
      <c r="A72" s="11" t="s">
        <v>135</v>
      </c>
      <c r="B72" s="12">
        <f>300000</f>
      </c>
      <c r="C72" s="12">
        <f>B72</f>
      </c>
      <c r="D72" s="12">
        <f>C72</f>
      </c>
      <c r="E72" s="12">
        <f>D72</f>
      </c>
      <c r="F72" s="12">
        <f>E72</f>
      </c>
      <c r="G72" s="12">
        <f>F72</f>
      </c>
      <c r="H72" s="12">
        <f>G72</f>
      </c>
      <c r="I72" s="12">
        <f>H72</f>
      </c>
      <c r="J72" s="12">
        <f>I72</f>
      </c>
      <c r="K72" s="12">
        <f>J72</f>
      </c>
      <c r="L72" s="12">
        <f>K72</f>
      </c>
      <c r="M72" s="12">
        <f>L72</f>
      </c>
      <c r="N72" s="3"/>
    </row>
    <row x14ac:dyDescent="0.25" r="73" customHeight="1" ht="14.25" customFormat="1" s="6">
      <c r="A73" s="11" t="s">
        <v>136</v>
      </c>
      <c r="B73" s="12">
        <f>49823.62</f>
      </c>
      <c r="C73" s="12">
        <f>B73</f>
      </c>
      <c r="D73" s="12">
        <f>C73</f>
      </c>
      <c r="E73" s="12">
        <f>D73</f>
      </c>
      <c r="F73" s="12">
        <f>E73</f>
      </c>
      <c r="G73" s="12">
        <f>F73</f>
      </c>
      <c r="H73" s="12">
        <f>G73</f>
      </c>
      <c r="I73" s="12">
        <f>H73</f>
      </c>
      <c r="J73" s="12">
        <f>I73</f>
      </c>
      <c r="K73" s="12">
        <f>J73</f>
      </c>
      <c r="L73" s="12">
        <f>K73</f>
      </c>
      <c r="M73" s="12">
        <f>L73</f>
      </c>
      <c r="N73" s="3"/>
    </row>
    <row x14ac:dyDescent="0.25" r="74" customHeight="1" ht="14.25" customFormat="1" s="6">
      <c r="A74" s="11" t="s">
        <v>137</v>
      </c>
      <c r="B74" s="12">
        <f>0</f>
      </c>
      <c r="C74" s="12">
        <f>B74</f>
      </c>
      <c r="D74" s="12">
        <f>C74</f>
      </c>
      <c r="E74" s="12">
        <f>D74</f>
      </c>
      <c r="F74" s="12">
        <f>-3000</f>
      </c>
      <c r="G74" s="12">
        <f>-6000</f>
      </c>
      <c r="H74" s="12">
        <f>-9000</f>
      </c>
      <c r="I74" s="12">
        <f>-10500</f>
      </c>
      <c r="J74" s="12">
        <f>-13500</f>
      </c>
      <c r="K74" s="12">
        <f>-15000</f>
      </c>
      <c r="L74" s="12">
        <f>K74</f>
      </c>
      <c r="M74" s="12">
        <f>-21000</f>
      </c>
      <c r="N74" s="3"/>
    </row>
    <row x14ac:dyDescent="0.25" r="75" customHeight="1" ht="14.25" customFormat="1" s="6">
      <c r="A75" s="11" t="s">
        <v>138</v>
      </c>
      <c r="B75" s="12">
        <f>-794004.76</f>
      </c>
      <c r="C75" s="12">
        <f>B75</f>
      </c>
      <c r="D75" s="12">
        <f>C75</f>
      </c>
      <c r="E75" s="12">
        <f>D75</f>
      </c>
      <c r="F75" s="12">
        <f>E75</f>
      </c>
      <c r="G75" s="12">
        <f>F75</f>
      </c>
      <c r="H75" s="12">
        <f>G75</f>
      </c>
      <c r="I75" s="12">
        <f>H75</f>
      </c>
      <c r="J75" s="12">
        <f>I75</f>
      </c>
      <c r="K75" s="12">
        <f>J75</f>
      </c>
      <c r="L75" s="12">
        <f>K75</f>
      </c>
      <c r="M75" s="12">
        <f>L75</f>
      </c>
      <c r="N75" s="3"/>
    </row>
    <row x14ac:dyDescent="0.25" r="76" customHeight="1" ht="14.25" customFormat="1" s="6">
      <c r="A76" s="11" t="s">
        <v>139</v>
      </c>
      <c r="B76" s="12">
        <f>-8376.62</f>
      </c>
      <c r="C76" s="12">
        <f>8193.78</f>
      </c>
      <c r="D76" s="12">
        <f>13234.04</f>
      </c>
      <c r="E76" s="12">
        <f>-17710.31</f>
      </c>
      <c r="F76" s="12">
        <f>-14182.12</f>
      </c>
      <c r="G76" s="12">
        <f>-5064.94</f>
      </c>
      <c r="H76" s="12">
        <f>-1760.66</f>
      </c>
      <c r="I76" s="12">
        <f>10401.05</f>
      </c>
      <c r="J76" s="12">
        <f>15033.33</f>
      </c>
      <c r="K76" s="12">
        <f>23261.32</f>
      </c>
      <c r="L76" s="12">
        <f>34737.24</f>
      </c>
      <c r="M76" s="12">
        <f>45910.96</f>
      </c>
      <c r="N76" s="3"/>
    </row>
    <row x14ac:dyDescent="0.25" r="77" customHeight="1" ht="14.25" customFormat="1" s="6">
      <c r="A77" s="11" t="s">
        <v>140</v>
      </c>
      <c r="B77" s="13">
        <f>((((B72)+(B73))+(B74))+(B75))+(B76)</f>
      </c>
      <c r="C77" s="13">
        <f>((((C72)+(C73))+(C74))+(C75))+(C76)</f>
      </c>
      <c r="D77" s="13">
        <f>((((D72)+(D73))+(D74))+(D75))+(D76)</f>
      </c>
      <c r="E77" s="13">
        <f>((((E72)+(E73))+(E74))+(E75))+(E76)</f>
      </c>
      <c r="F77" s="13">
        <f>((((F72)+(F73))+(F74))+(F75))+(F76)</f>
      </c>
      <c r="G77" s="13">
        <f>((((G72)+(G73))+(G74))+(G75))+(G76)</f>
      </c>
      <c r="H77" s="13">
        <f>((((H72)+(H73))+(H74))+(H75))+(H76)</f>
      </c>
      <c r="I77" s="13">
        <f>((((I72)+(I73))+(I74))+(I75))+(I76)</f>
      </c>
      <c r="J77" s="13">
        <f>((((J72)+(J73))+(J74))+(J75))+(J76)</f>
      </c>
      <c r="K77" s="13">
        <f>((((K72)+(K73))+(K74))+(K75))+(K76)</f>
      </c>
      <c r="L77" s="13">
        <f>((((L72)+(L73))+(L74))+(L75))+(L76)</f>
      </c>
      <c r="M77" s="13">
        <f>((((M72)+(M73))+(M74))+(M75))+(M76)</f>
      </c>
      <c r="N77" s="3"/>
    </row>
    <row x14ac:dyDescent="0.25" r="78" customHeight="1" ht="14.25" customFormat="1" s="6">
      <c r="A78" s="11" t="s">
        <v>141</v>
      </c>
      <c r="B78" s="13">
        <f>(B70)+(B77)</f>
      </c>
      <c r="C78" s="13">
        <f>(C70)+(C77)</f>
      </c>
      <c r="D78" s="13">
        <f>(D70)+(D77)</f>
      </c>
      <c r="E78" s="13">
        <f>(E70)+(E77)</f>
      </c>
      <c r="F78" s="13">
        <f>(F70)+(F77)</f>
      </c>
      <c r="G78" s="13">
        <f>(G70)+(G77)</f>
      </c>
      <c r="H78" s="13">
        <f>(H70)+(H77)</f>
      </c>
      <c r="I78" s="13">
        <f>(I70)+(I77)</f>
      </c>
      <c r="J78" s="13">
        <f>(J70)+(J77)</f>
      </c>
      <c r="K78" s="13">
        <f>(K70)+(K77)</f>
      </c>
      <c r="L78" s="13">
        <f>(L70)+(L77)</f>
      </c>
      <c r="M78" s="13">
        <f>(M70)+(M77)</f>
      </c>
      <c r="N78" s="3"/>
    </row>
    <row x14ac:dyDescent="0.25" r="79" customHeight="1" ht="14.25" customFormat="1" s="6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3"/>
    </row>
    <row x14ac:dyDescent="0.25" r="80" customHeight="1" ht="14.25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</row>
    <row x14ac:dyDescent="0.25" r="81" customHeight="1" ht="14.25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</row>
    <row x14ac:dyDescent="0.25" r="82" customHeight="1" ht="14.25">
      <c r="A82" s="14" t="s">
        <v>142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</row>
    <row x14ac:dyDescent="0.25" r="83" customHeight="1" ht="14.25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</row>
    <row x14ac:dyDescent="0.25" r="84" customHeight="1" ht="14.25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</row>
    <row x14ac:dyDescent="0.25" r="85" customHeight="1" ht="14.2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</row>
    <row x14ac:dyDescent="0.25" r="86" customHeight="1" ht="14.25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</row>
    <row x14ac:dyDescent="0.25" r="87" customHeight="1" ht="14.25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</row>
    <row x14ac:dyDescent="0.25" r="88" customHeight="1" ht="14.25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</row>
    <row x14ac:dyDescent="0.25" r="89" customHeight="1" ht="14.25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</row>
    <row x14ac:dyDescent="0.25" r="90" customHeight="1" ht="14.25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</row>
    <row x14ac:dyDescent="0.25" r="91" customHeight="1" ht="14.25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</row>
    <row x14ac:dyDescent="0.25" r="92" customHeight="1" ht="14.25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</row>
    <row x14ac:dyDescent="0.25" r="93" customHeight="1" ht="14.2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</row>
    <row x14ac:dyDescent="0.25" r="94" customHeight="1" ht="14.2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</row>
    <row x14ac:dyDescent="0.25" r="95" customHeight="1" ht="14.2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</row>
    <row x14ac:dyDescent="0.25" r="96" customHeight="1" ht="14.25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</row>
    <row x14ac:dyDescent="0.25" r="97" customHeight="1" ht="14.2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</row>
    <row x14ac:dyDescent="0.25" r="98" customHeight="1" ht="14.25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</row>
    <row x14ac:dyDescent="0.25" r="99" customHeight="1" ht="14.25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</row>
    <row x14ac:dyDescent="0.25" r="100" customHeight="1" ht="14.25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</row>
    <row x14ac:dyDescent="0.25" r="101" customHeight="1" ht="14.25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</row>
    <row x14ac:dyDescent="0.25" r="102" customHeight="1" ht="14.25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</row>
    <row x14ac:dyDescent="0.25" r="103" customHeight="1" ht="14.25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</row>
    <row x14ac:dyDescent="0.25" r="104" customHeight="1" ht="14.25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</row>
    <row x14ac:dyDescent="0.25" r="105" customHeight="1" ht="14.2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</row>
    <row x14ac:dyDescent="0.25" r="106" customHeight="1" ht="14.25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</row>
    <row x14ac:dyDescent="0.25" r="107" customHeight="1" ht="14.25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</row>
    <row x14ac:dyDescent="0.25" r="108" customHeight="1" ht="14.25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</row>
    <row x14ac:dyDescent="0.25" r="109" customHeight="1" ht="14.25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</row>
    <row x14ac:dyDescent="0.25" r="110" customHeight="1" ht="14.25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</row>
    <row x14ac:dyDescent="0.25" r="111" customHeight="1" ht="14.25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</row>
    <row x14ac:dyDescent="0.25" r="112" customHeight="1" ht="14.25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</row>
    <row x14ac:dyDescent="0.25" r="113" customHeight="1" ht="14.25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</row>
    <row x14ac:dyDescent="0.25" r="114" customHeight="1" ht="14.25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</row>
    <row x14ac:dyDescent="0.25" r="115" customHeight="1" ht="14.2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</row>
    <row x14ac:dyDescent="0.25" r="116" customHeight="1" ht="14.25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</row>
    <row x14ac:dyDescent="0.25" r="117" customHeight="1" ht="14.25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</row>
    <row x14ac:dyDescent="0.25" r="118" customHeight="1" ht="14.25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</row>
    <row x14ac:dyDescent="0.25" r="119" customHeight="1" ht="14.2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</row>
    <row x14ac:dyDescent="0.25" r="120" customHeight="1" ht="14.25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</row>
    <row x14ac:dyDescent="0.25" r="121" customHeight="1" ht="14.25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</row>
    <row x14ac:dyDescent="0.25" r="122" customHeight="1" ht="14.25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</row>
    <row x14ac:dyDescent="0.25" r="123" customHeight="1" ht="14.25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</row>
    <row x14ac:dyDescent="0.25" r="124" customHeight="1" ht="14.25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</row>
    <row x14ac:dyDescent="0.25" r="125" customHeight="1" ht="14.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</row>
    <row x14ac:dyDescent="0.25" r="126" customHeight="1" ht="14.25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</row>
    <row x14ac:dyDescent="0.25" r="127" customHeight="1" ht="14.25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</row>
    <row x14ac:dyDescent="0.25" r="128" customHeight="1" ht="14.25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</row>
    <row x14ac:dyDescent="0.25" r="129" customHeight="1" ht="14.25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</row>
    <row x14ac:dyDescent="0.25" r="130" customHeight="1" ht="14.25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</row>
    <row x14ac:dyDescent="0.25" r="131" customHeight="1" ht="14.25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</row>
    <row x14ac:dyDescent="0.25" r="132" customHeight="1" ht="14.25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</row>
    <row x14ac:dyDescent="0.25" r="133" customHeight="1" ht="14.2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</row>
    <row x14ac:dyDescent="0.25" r="134" customHeight="1" ht="14.25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</row>
    <row x14ac:dyDescent="0.25" r="135" customHeight="1" ht="14.2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</row>
    <row x14ac:dyDescent="0.25" r="136" customHeight="1" ht="14.25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</row>
    <row x14ac:dyDescent="0.25" r="137" customHeight="1" ht="14.25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</row>
    <row x14ac:dyDescent="0.25" r="138" customHeight="1" ht="14.25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</row>
    <row x14ac:dyDescent="0.25" r="139" customHeight="1" ht="14.25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</row>
    <row x14ac:dyDescent="0.25" r="140" customHeight="1" ht="14.25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</row>
    <row x14ac:dyDescent="0.25" r="141" customHeight="1" ht="14.25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</row>
    <row x14ac:dyDescent="0.25" r="142" customHeight="1" ht="14.25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</row>
    <row x14ac:dyDescent="0.25" r="143" customHeight="1" ht="14.25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</row>
    <row x14ac:dyDescent="0.25" r="144" customHeight="1" ht="14.25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</row>
    <row x14ac:dyDescent="0.25" r="145" customHeight="1" ht="14.2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</row>
    <row x14ac:dyDescent="0.25" r="146" customHeight="1" ht="14.25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</row>
    <row x14ac:dyDescent="0.25" r="147" customHeight="1" ht="14.25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</row>
    <row x14ac:dyDescent="0.25" r="148" customHeight="1" ht="14.25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</row>
    <row x14ac:dyDescent="0.25" r="149" customHeight="1" ht="14.25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</row>
    <row x14ac:dyDescent="0.25" r="150" customHeight="1" ht="14.25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</row>
    <row x14ac:dyDescent="0.25" r="151" customHeight="1" ht="14.2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</row>
    <row x14ac:dyDescent="0.25" r="152" customHeight="1" ht="14.25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</row>
    <row x14ac:dyDescent="0.25" r="153" customHeight="1" ht="14.25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</row>
    <row x14ac:dyDescent="0.25" r="154" customHeight="1" ht="14.25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</row>
    <row x14ac:dyDescent="0.25" r="155" customHeight="1" ht="14.2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</row>
    <row x14ac:dyDescent="0.25" r="156" customHeight="1" ht="14.2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</row>
    <row x14ac:dyDescent="0.25" r="157" customHeight="1" ht="14.25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</row>
    <row x14ac:dyDescent="0.25" r="158" customHeight="1" ht="14.25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</row>
    <row x14ac:dyDescent="0.25" r="159" customHeight="1" ht="14.25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</row>
    <row x14ac:dyDescent="0.25" r="160" customHeight="1" ht="14.25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</row>
    <row x14ac:dyDescent="0.25" r="161" customHeight="1" ht="14.25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</row>
    <row x14ac:dyDescent="0.25" r="162" customHeight="1" ht="14.25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</row>
    <row x14ac:dyDescent="0.25" r="163" customHeight="1" ht="14.25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</row>
    <row x14ac:dyDescent="0.25" r="164" customHeight="1" ht="14.25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</row>
    <row x14ac:dyDescent="0.25" r="165" customHeight="1" ht="14.2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</row>
    <row x14ac:dyDescent="0.25" r="166" customHeight="1" ht="14.25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</row>
    <row x14ac:dyDescent="0.25" r="167" customHeight="1" ht="14.25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</row>
    <row x14ac:dyDescent="0.25" r="168" customHeight="1" ht="14.25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</row>
    <row x14ac:dyDescent="0.25" r="169" customHeight="1" ht="14.2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</row>
    <row x14ac:dyDescent="0.25" r="170" customHeight="1" ht="14.2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</row>
    <row x14ac:dyDescent="0.25" r="171" customHeight="1" ht="14.25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</row>
    <row x14ac:dyDescent="0.25" r="172" customHeight="1" ht="14.25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</row>
    <row x14ac:dyDescent="0.25" r="173" customHeight="1" ht="14.25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</row>
    <row x14ac:dyDescent="0.25" r="174" customHeight="1" ht="14.25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</row>
    <row x14ac:dyDescent="0.25" r="175" customHeight="1" ht="14.2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</row>
    <row x14ac:dyDescent="0.25" r="176" customHeight="1" ht="14.25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</row>
    <row x14ac:dyDescent="0.25" r="177" customHeight="1" ht="14.25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</row>
    <row x14ac:dyDescent="0.25" r="178" customHeight="1" ht="14.25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</row>
    <row x14ac:dyDescent="0.25" r="179" customHeight="1" ht="14.25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</row>
    <row x14ac:dyDescent="0.25" r="180" customHeight="1" ht="14.25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</row>
    <row x14ac:dyDescent="0.25" r="181" customHeight="1" ht="14.25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</row>
    <row x14ac:dyDescent="0.25" r="182" customHeight="1" ht="14.25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</row>
    <row x14ac:dyDescent="0.25" r="183" customHeight="1" ht="14.25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</row>
    <row x14ac:dyDescent="0.25" r="184" customHeight="1" ht="14.2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</row>
    <row x14ac:dyDescent="0.25" r="185" customHeight="1" ht="14.2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</row>
    <row x14ac:dyDescent="0.25" r="186" customHeight="1" ht="14.25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</row>
    <row x14ac:dyDescent="0.25" r="187" customHeight="1" ht="14.2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</row>
    <row x14ac:dyDescent="0.25" r="188" customHeight="1" ht="14.25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</row>
    <row x14ac:dyDescent="0.25" r="189" customHeight="1" ht="14.25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</row>
    <row x14ac:dyDescent="0.25" r="190" customHeight="1" ht="14.25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</row>
    <row x14ac:dyDescent="0.25" r="191" customHeight="1" ht="14.25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</row>
    <row x14ac:dyDescent="0.25" r="192" customHeight="1" ht="14.25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</row>
    <row x14ac:dyDescent="0.25" r="193" customHeight="1" ht="14.25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</row>
    <row x14ac:dyDescent="0.25" r="194" customHeight="1" ht="14.25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</row>
    <row x14ac:dyDescent="0.25" r="195" customHeight="1" ht="14.2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</row>
    <row x14ac:dyDescent="0.25" r="196" customHeight="1" ht="14.25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</row>
    <row x14ac:dyDescent="0.25" r="197" customHeight="1" ht="14.25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</row>
    <row x14ac:dyDescent="0.25" r="198" customHeight="1" ht="14.25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</row>
    <row x14ac:dyDescent="0.25" r="199" customHeight="1" ht="14.25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</row>
    <row x14ac:dyDescent="0.25" r="200" customHeight="1" ht="14.25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</row>
    <row x14ac:dyDescent="0.25" r="201" customHeight="1" ht="14.25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</row>
    <row x14ac:dyDescent="0.25" r="202" customHeight="1" ht="14.25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</row>
    <row x14ac:dyDescent="0.25" r="203" customHeight="1" ht="14.25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</row>
    <row x14ac:dyDescent="0.25" r="204" customHeight="1" ht="14.25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</row>
    <row x14ac:dyDescent="0.25" r="205" customHeight="1" ht="14.2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</row>
    <row x14ac:dyDescent="0.25" r="206" customHeight="1" ht="14.25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</row>
    <row x14ac:dyDescent="0.25" r="207" customHeight="1" ht="14.25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</row>
    <row x14ac:dyDescent="0.25" r="208" customHeight="1" ht="14.25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</row>
    <row x14ac:dyDescent="0.25" r="209" customHeight="1" ht="14.25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</row>
    <row x14ac:dyDescent="0.25" r="210" customHeight="1" ht="14.25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</row>
    <row x14ac:dyDescent="0.25" r="211" customHeight="1" ht="14.25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</row>
    <row x14ac:dyDescent="0.25" r="212" customHeight="1" ht="14.25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</row>
    <row x14ac:dyDescent="0.25" r="213" customHeight="1" ht="14.25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</row>
    <row x14ac:dyDescent="0.25" r="214" customHeight="1" ht="14.25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</row>
    <row x14ac:dyDescent="0.25" r="215" customHeight="1" ht="14.2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</row>
    <row x14ac:dyDescent="0.25" r="216" customHeight="1" ht="14.2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</row>
    <row x14ac:dyDescent="0.25" r="217" customHeight="1" ht="14.25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</row>
    <row x14ac:dyDescent="0.25" r="218" customHeight="1" ht="14.25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</row>
    <row x14ac:dyDescent="0.25" r="219" customHeight="1" ht="14.25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</row>
    <row x14ac:dyDescent="0.25" r="220" customHeight="1" ht="14.25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</row>
    <row x14ac:dyDescent="0.25" r="221" customHeight="1" ht="14.25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</row>
    <row x14ac:dyDescent="0.25" r="222" customHeight="1" ht="14.25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</row>
    <row x14ac:dyDescent="0.25" r="223" customHeight="1" ht="14.2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</row>
    <row x14ac:dyDescent="0.25" r="224" customHeight="1" ht="14.25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</row>
    <row x14ac:dyDescent="0.25" r="225" customHeight="1" ht="14.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</row>
    <row x14ac:dyDescent="0.25" r="226" customHeight="1" ht="14.25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</row>
    <row x14ac:dyDescent="0.25" r="227" customHeight="1" ht="14.25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</row>
    <row x14ac:dyDescent="0.25" r="228" customHeight="1" ht="14.25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</row>
    <row x14ac:dyDescent="0.25" r="229" customHeight="1" ht="14.25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</row>
    <row x14ac:dyDescent="0.25" r="230" customHeight="1" ht="14.2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</row>
    <row x14ac:dyDescent="0.25" r="231" customHeight="1" ht="14.25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</row>
    <row x14ac:dyDescent="0.25" r="232" customHeight="1" ht="14.25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</row>
    <row x14ac:dyDescent="0.25" r="233" customHeight="1" ht="14.25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</row>
    <row x14ac:dyDescent="0.25" r="234" customHeight="1" ht="14.25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</row>
    <row x14ac:dyDescent="0.25" r="235" customHeight="1" ht="14.2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</row>
    <row x14ac:dyDescent="0.25" r="236" customHeight="1" ht="14.25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</row>
    <row x14ac:dyDescent="0.25" r="237" customHeight="1" ht="14.25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</row>
    <row x14ac:dyDescent="0.25" r="238" customHeight="1" ht="14.25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</row>
    <row x14ac:dyDescent="0.25" r="239" customHeight="1" ht="14.25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</row>
    <row x14ac:dyDescent="0.25" r="240" customHeight="1" ht="14.25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</row>
    <row x14ac:dyDescent="0.25" r="241" customHeight="1" ht="14.2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</row>
    <row x14ac:dyDescent="0.25" r="242" customHeight="1" ht="14.25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</row>
    <row x14ac:dyDescent="0.25" r="243" customHeight="1" ht="14.25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</row>
    <row x14ac:dyDescent="0.25" r="244" customHeight="1" ht="14.25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</row>
    <row x14ac:dyDescent="0.25" r="245" customHeight="1" ht="14.2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</row>
    <row x14ac:dyDescent="0.25" r="246" customHeight="1" ht="14.25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</row>
    <row x14ac:dyDescent="0.25" r="247" customHeight="1" ht="14.25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</row>
    <row x14ac:dyDescent="0.25" r="248" customHeight="1" ht="14.25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</row>
    <row x14ac:dyDescent="0.25" r="249" customHeight="1" ht="14.25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</row>
    <row x14ac:dyDescent="0.25" r="250" customHeight="1" ht="14.25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</row>
    <row x14ac:dyDescent="0.25" r="251" customHeight="1" ht="14.25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</row>
    <row x14ac:dyDescent="0.25" r="252" customHeight="1" ht="14.25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</row>
    <row x14ac:dyDescent="0.25" r="253" customHeight="1" ht="14.25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</row>
    <row x14ac:dyDescent="0.25" r="254" customHeight="1" ht="14.25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</row>
    <row x14ac:dyDescent="0.25" r="255" customHeight="1" ht="14.2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</row>
    <row x14ac:dyDescent="0.25" r="256" customHeight="1" ht="14.25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</row>
    <row x14ac:dyDescent="0.25" r="257" customHeight="1" ht="14.25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</row>
    <row x14ac:dyDescent="0.25" r="258" customHeight="1" ht="14.25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</row>
    <row x14ac:dyDescent="0.25" r="259" customHeight="1" ht="14.2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</row>
    <row x14ac:dyDescent="0.25" r="260" customHeight="1" ht="14.25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</row>
    <row x14ac:dyDescent="0.25" r="261" customHeight="1" ht="14.25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</row>
    <row x14ac:dyDescent="0.25" r="262" customHeight="1" ht="14.25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</row>
    <row x14ac:dyDescent="0.25" r="263" customHeight="1" ht="14.25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</row>
    <row x14ac:dyDescent="0.25" r="264" customHeight="1" ht="14.25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</row>
    <row x14ac:dyDescent="0.25" r="265" customHeight="1" ht="14.2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</row>
    <row x14ac:dyDescent="0.25" r="266" customHeight="1" ht="14.25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</row>
    <row x14ac:dyDescent="0.25" r="267" customHeight="1" ht="14.25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</row>
    <row x14ac:dyDescent="0.25" r="268" customHeight="1" ht="14.25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</row>
    <row x14ac:dyDescent="0.25" r="269" customHeight="1" ht="14.25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</row>
    <row x14ac:dyDescent="0.25" r="270" customHeight="1" ht="14.25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</row>
    <row x14ac:dyDescent="0.25" r="271" customHeight="1" ht="14.25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</row>
    <row x14ac:dyDescent="0.25" r="272" customHeight="1" ht="14.25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</row>
    <row x14ac:dyDescent="0.25" r="273" customHeight="1" ht="14.25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</row>
    <row x14ac:dyDescent="0.25" r="274" customHeight="1" ht="14.25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</row>
    <row x14ac:dyDescent="0.25" r="275" customHeight="1" ht="14.2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</row>
    <row x14ac:dyDescent="0.25" r="276" customHeight="1" ht="14.25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</row>
    <row x14ac:dyDescent="0.25" r="277" customHeight="1" ht="14.2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</row>
    <row x14ac:dyDescent="0.25" r="278" customHeight="1" ht="14.25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</row>
    <row x14ac:dyDescent="0.25" r="279" customHeight="1" ht="14.25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</row>
    <row x14ac:dyDescent="0.25" r="280" customHeight="1" ht="14.25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</row>
    <row x14ac:dyDescent="0.25" r="281" customHeight="1" ht="14.25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</row>
    <row x14ac:dyDescent="0.25" r="282" customHeight="1" ht="14.25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</row>
    <row x14ac:dyDescent="0.25" r="283" customHeight="1" ht="14.25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</row>
    <row x14ac:dyDescent="0.25" r="284" customHeight="1" ht="14.25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</row>
    <row x14ac:dyDescent="0.25" r="285" customHeight="1" ht="14.2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</row>
    <row x14ac:dyDescent="0.25" r="286" customHeight="1" ht="14.25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</row>
    <row x14ac:dyDescent="0.25" r="287" customHeight="1" ht="14.25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</row>
    <row x14ac:dyDescent="0.25" r="288" customHeight="1" ht="14.25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</row>
    <row x14ac:dyDescent="0.25" r="289" customHeight="1" ht="14.25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</row>
    <row x14ac:dyDescent="0.25" r="290" customHeight="1" ht="14.25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</row>
    <row x14ac:dyDescent="0.25" r="291" customHeight="1" ht="14.25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</row>
    <row x14ac:dyDescent="0.25" r="292" customHeight="1" ht="14.25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</row>
    <row x14ac:dyDescent="0.25" r="293" customHeight="1" ht="14.25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</row>
    <row x14ac:dyDescent="0.25" r="294" customHeight="1" ht="14.25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</row>
    <row x14ac:dyDescent="0.25" r="295" customHeight="1" ht="14.2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</row>
    <row x14ac:dyDescent="0.25" r="296" customHeight="1" ht="14.25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</row>
    <row x14ac:dyDescent="0.25" r="297" customHeight="1" ht="14.25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</row>
    <row x14ac:dyDescent="0.25" r="298" customHeight="1" ht="14.25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</row>
    <row x14ac:dyDescent="0.25" r="299" customHeight="1" ht="14.25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</row>
    <row x14ac:dyDescent="0.25" r="300" customHeight="1" ht="14.25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</row>
    <row x14ac:dyDescent="0.25" r="301" customHeight="1" ht="14.25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</row>
    <row x14ac:dyDescent="0.25" r="302" customHeight="1" ht="14.25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</row>
    <row x14ac:dyDescent="0.25" r="303" customHeight="1" ht="14.25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</row>
    <row x14ac:dyDescent="0.25" r="304" customHeight="1" ht="14.25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</row>
    <row x14ac:dyDescent="0.25" r="305" customHeight="1" ht="14.2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</row>
    <row x14ac:dyDescent="0.25" r="306" customHeight="1" ht="14.25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</row>
    <row x14ac:dyDescent="0.25" r="307" customHeight="1" ht="14.25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</row>
    <row x14ac:dyDescent="0.25" r="308" customHeight="1" ht="14.25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</row>
    <row x14ac:dyDescent="0.25" r="309" customHeight="1" ht="14.25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</row>
    <row x14ac:dyDescent="0.25" r="310" customHeight="1" ht="14.25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</row>
    <row x14ac:dyDescent="0.25" r="311" customHeight="1" ht="14.25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</row>
    <row x14ac:dyDescent="0.25" r="312" customHeight="1" ht="14.25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</row>
    <row x14ac:dyDescent="0.25" r="313" customHeight="1" ht="14.2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</row>
    <row x14ac:dyDescent="0.25" r="314" customHeight="1" ht="14.25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</row>
    <row x14ac:dyDescent="0.25" r="315" customHeight="1" ht="14.2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</row>
    <row x14ac:dyDescent="0.25" r="316" customHeight="1" ht="14.25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</row>
    <row x14ac:dyDescent="0.25" r="317" customHeight="1" ht="14.25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</row>
    <row x14ac:dyDescent="0.25" r="318" customHeight="1" ht="14.25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</row>
    <row x14ac:dyDescent="0.25" r="319" customHeight="1" ht="14.25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</row>
    <row x14ac:dyDescent="0.25" r="320" customHeight="1" ht="14.25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</row>
    <row x14ac:dyDescent="0.25" r="321" customHeight="1" ht="14.25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</row>
    <row x14ac:dyDescent="0.25" r="322" customHeight="1" ht="14.25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</row>
    <row x14ac:dyDescent="0.25" r="323" customHeight="1" ht="14.25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</row>
    <row x14ac:dyDescent="0.25" r="324" customHeight="1" ht="14.25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</row>
    <row x14ac:dyDescent="0.25" r="325" customHeight="1" ht="14.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</row>
    <row x14ac:dyDescent="0.25" r="326" customHeight="1" ht="14.25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</row>
    <row x14ac:dyDescent="0.25" r="327" customHeight="1" ht="14.25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</row>
    <row x14ac:dyDescent="0.25" r="328" customHeight="1" ht="14.25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</row>
    <row x14ac:dyDescent="0.25" r="329" customHeight="1" ht="14.25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</row>
    <row x14ac:dyDescent="0.25" r="330" customHeight="1" ht="14.25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</row>
    <row x14ac:dyDescent="0.25" r="331" customHeight="1" ht="14.2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</row>
    <row x14ac:dyDescent="0.25" r="332" customHeight="1" ht="14.25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</row>
    <row x14ac:dyDescent="0.25" r="333" customHeight="1" ht="14.25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</row>
    <row x14ac:dyDescent="0.25" r="334" customHeight="1" ht="14.25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</row>
    <row x14ac:dyDescent="0.25" r="335" customHeight="1" ht="14.2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</row>
    <row x14ac:dyDescent="0.25" r="336" customHeight="1" ht="14.25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</row>
    <row x14ac:dyDescent="0.25" r="337" customHeight="1" ht="14.25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</row>
    <row x14ac:dyDescent="0.25" r="338" customHeight="1" ht="14.25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</row>
    <row x14ac:dyDescent="0.25" r="339" customHeight="1" ht="14.25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</row>
    <row x14ac:dyDescent="0.25" r="340" customHeight="1" ht="14.25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</row>
    <row x14ac:dyDescent="0.25" r="341" customHeight="1" ht="14.25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</row>
    <row x14ac:dyDescent="0.25" r="342" customHeight="1" ht="14.25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</row>
    <row x14ac:dyDescent="0.25" r="343" customHeight="1" ht="14.25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</row>
    <row x14ac:dyDescent="0.25" r="344" customHeight="1" ht="14.25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</row>
    <row x14ac:dyDescent="0.25" r="345" customHeight="1" ht="14.2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</row>
    <row x14ac:dyDescent="0.25" r="346" customHeight="1" ht="14.25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</row>
    <row x14ac:dyDescent="0.25" r="347" customHeight="1" ht="14.25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</row>
    <row x14ac:dyDescent="0.25" r="348" customHeight="1" ht="14.25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</row>
    <row x14ac:dyDescent="0.25" r="349" customHeight="1" ht="14.2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</row>
    <row x14ac:dyDescent="0.25" r="350" customHeight="1" ht="14.25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</row>
    <row x14ac:dyDescent="0.25" r="351" customHeight="1" ht="14.25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</row>
    <row x14ac:dyDescent="0.25" r="352" customHeight="1" ht="14.25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</row>
    <row x14ac:dyDescent="0.25" r="353" customHeight="1" ht="14.25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</row>
    <row x14ac:dyDescent="0.25" r="354" customHeight="1" ht="14.25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</row>
    <row x14ac:dyDescent="0.25" r="355" customHeight="1" ht="14.2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</row>
    <row x14ac:dyDescent="0.25" r="356" customHeight="1" ht="14.25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</row>
    <row x14ac:dyDescent="0.25" r="357" customHeight="1" ht="14.25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</row>
    <row x14ac:dyDescent="0.25" r="358" customHeight="1" ht="14.25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</row>
    <row x14ac:dyDescent="0.25" r="359" customHeight="1" ht="14.25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</row>
    <row x14ac:dyDescent="0.25" r="360" customHeight="1" ht="14.25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</row>
    <row x14ac:dyDescent="0.25" r="361" customHeight="1" ht="14.25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</row>
    <row x14ac:dyDescent="0.25" r="362" customHeight="1" ht="14.25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</row>
    <row x14ac:dyDescent="0.25" r="363" customHeight="1" ht="14.25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</row>
    <row x14ac:dyDescent="0.25" r="364" customHeight="1" ht="14.25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</row>
    <row x14ac:dyDescent="0.25" r="365" customHeight="1" ht="14.2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</row>
    <row x14ac:dyDescent="0.25" r="366" customHeight="1" ht="14.25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</row>
    <row x14ac:dyDescent="0.25" r="367" customHeight="1" ht="14.2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</row>
    <row x14ac:dyDescent="0.25" r="368" customHeight="1" ht="14.25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</row>
    <row x14ac:dyDescent="0.25" r="369" customHeight="1" ht="14.25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</row>
    <row x14ac:dyDescent="0.25" r="370" customHeight="1" ht="14.25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</row>
    <row x14ac:dyDescent="0.25" r="371" customHeight="1" ht="14.25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</row>
    <row x14ac:dyDescent="0.25" r="372" customHeight="1" ht="14.25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</row>
    <row x14ac:dyDescent="0.25" r="373" customHeight="1" ht="14.25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</row>
    <row x14ac:dyDescent="0.25" r="374" customHeight="1" ht="14.25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</row>
    <row x14ac:dyDescent="0.25" r="375" customHeight="1" ht="14.2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</row>
    <row x14ac:dyDescent="0.25" r="376" customHeight="1" ht="14.25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</row>
    <row x14ac:dyDescent="0.25" r="377" customHeight="1" ht="14.25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</row>
    <row x14ac:dyDescent="0.25" r="378" customHeight="1" ht="14.25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</row>
    <row x14ac:dyDescent="0.25" r="379" customHeight="1" ht="14.25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</row>
    <row x14ac:dyDescent="0.25" r="380" customHeight="1" ht="14.25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</row>
    <row x14ac:dyDescent="0.25" r="381" customHeight="1" ht="14.25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</row>
    <row x14ac:dyDescent="0.25" r="382" customHeight="1" ht="14.25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</row>
    <row x14ac:dyDescent="0.25" r="383" customHeight="1" ht="14.25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</row>
    <row x14ac:dyDescent="0.25" r="384" customHeight="1" ht="14.25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</row>
    <row x14ac:dyDescent="0.25" r="385" customHeight="1" ht="14.2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</row>
    <row x14ac:dyDescent="0.25" r="386" customHeight="1" ht="14.25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</row>
    <row x14ac:dyDescent="0.25" r="387" customHeight="1" ht="14.25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</row>
    <row x14ac:dyDescent="0.25" r="388" customHeight="1" ht="14.25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</row>
    <row x14ac:dyDescent="0.25" r="389" customHeight="1" ht="14.25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</row>
    <row x14ac:dyDescent="0.25" r="390" customHeight="1" ht="14.25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</row>
    <row x14ac:dyDescent="0.25" r="391" customHeight="1" ht="14.25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</row>
    <row x14ac:dyDescent="0.25" r="392" customHeight="1" ht="14.25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</row>
    <row x14ac:dyDescent="0.25" r="393" customHeight="1" ht="14.25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</row>
    <row x14ac:dyDescent="0.25" r="394" customHeight="1" ht="14.25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</row>
    <row x14ac:dyDescent="0.25" r="395" customHeight="1" ht="14.2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</row>
    <row x14ac:dyDescent="0.25" r="396" customHeight="1" ht="14.25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</row>
    <row x14ac:dyDescent="0.25" r="397" customHeight="1" ht="14.25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</row>
    <row x14ac:dyDescent="0.25" r="398" customHeight="1" ht="14.25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</row>
    <row x14ac:dyDescent="0.25" r="399" customHeight="1" ht="14.25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</row>
    <row x14ac:dyDescent="0.25" r="400" customHeight="1" ht="14.25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</row>
    <row x14ac:dyDescent="0.25" r="401" customHeight="1" ht="14.25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</row>
    <row x14ac:dyDescent="0.25" r="402" customHeight="1" ht="14.25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</row>
    <row x14ac:dyDescent="0.25" r="403" customHeight="1" ht="14.2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</row>
    <row x14ac:dyDescent="0.25" r="404" customHeight="1" ht="14.25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</row>
    <row x14ac:dyDescent="0.25" r="405" customHeight="1" ht="14.2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</row>
    <row x14ac:dyDescent="0.25" r="406" customHeight="1" ht="14.25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</row>
    <row x14ac:dyDescent="0.25" r="407" customHeight="1" ht="14.25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</row>
    <row x14ac:dyDescent="0.25" r="408" customHeight="1" ht="14.25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</row>
    <row x14ac:dyDescent="0.25" r="409" customHeight="1" ht="14.25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</row>
    <row x14ac:dyDescent="0.25" r="410" customHeight="1" ht="14.25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</row>
    <row x14ac:dyDescent="0.25" r="411" customHeight="1" ht="14.25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</row>
    <row x14ac:dyDescent="0.25" r="412" customHeight="1" ht="14.25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</row>
    <row x14ac:dyDescent="0.25" r="413" customHeight="1" ht="14.25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</row>
    <row x14ac:dyDescent="0.25" r="414" customHeight="1" ht="14.25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</row>
    <row x14ac:dyDescent="0.25" r="415" customHeight="1" ht="14.2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</row>
    <row x14ac:dyDescent="0.25" r="416" customHeight="1" ht="14.25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</row>
    <row x14ac:dyDescent="0.25" r="417" customHeight="1" ht="14.25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</row>
    <row x14ac:dyDescent="0.25" r="418" customHeight="1" ht="14.25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</row>
    <row x14ac:dyDescent="0.25" r="419" customHeight="1" ht="14.25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</row>
    <row x14ac:dyDescent="0.25" r="420" customHeight="1" ht="14.25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</row>
    <row x14ac:dyDescent="0.25" r="421" customHeight="1" ht="14.2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</row>
    <row x14ac:dyDescent="0.25" r="422" customHeight="1" ht="14.25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</row>
    <row x14ac:dyDescent="0.25" r="423" customHeight="1" ht="14.25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</row>
    <row x14ac:dyDescent="0.25" r="424" customHeight="1" ht="14.25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</row>
    <row x14ac:dyDescent="0.25" r="425" customHeight="1" ht="14.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</row>
    <row x14ac:dyDescent="0.25" r="426" customHeight="1" ht="14.25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</row>
    <row x14ac:dyDescent="0.25" r="427" customHeight="1" ht="14.25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</row>
    <row x14ac:dyDescent="0.25" r="428" customHeight="1" ht="14.25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</row>
    <row x14ac:dyDescent="0.25" r="429" customHeight="1" ht="14.25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</row>
    <row x14ac:dyDescent="0.25" r="430" customHeight="1" ht="14.25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</row>
    <row x14ac:dyDescent="0.25" r="431" customHeight="1" ht="14.25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</row>
    <row x14ac:dyDescent="0.25" r="432" customHeight="1" ht="14.25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</row>
    <row x14ac:dyDescent="0.25" r="433" customHeight="1" ht="14.25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</row>
    <row x14ac:dyDescent="0.25" r="434" customHeight="1" ht="14.25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</row>
    <row x14ac:dyDescent="0.25" r="435" customHeight="1" ht="14.2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</row>
    <row x14ac:dyDescent="0.25" r="436" customHeight="1" ht="14.25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</row>
    <row x14ac:dyDescent="0.25" r="437" customHeight="1" ht="14.25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</row>
    <row x14ac:dyDescent="0.25" r="438" customHeight="1" ht="14.25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</row>
    <row x14ac:dyDescent="0.25" r="439" customHeight="1" ht="14.2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</row>
    <row x14ac:dyDescent="0.25" r="440" customHeight="1" ht="14.25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</row>
    <row x14ac:dyDescent="0.25" r="441" customHeight="1" ht="14.25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</row>
    <row x14ac:dyDescent="0.25" r="442" customHeight="1" ht="14.25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</row>
    <row x14ac:dyDescent="0.25" r="443" customHeight="1" ht="14.25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</row>
    <row x14ac:dyDescent="0.25" r="444" customHeight="1" ht="14.25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</row>
    <row x14ac:dyDescent="0.25" r="445" customHeight="1" ht="14.2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</row>
    <row x14ac:dyDescent="0.25" r="446" customHeight="1" ht="14.25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</row>
    <row x14ac:dyDescent="0.25" r="447" customHeight="1" ht="14.25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</row>
    <row x14ac:dyDescent="0.25" r="448" customHeight="1" ht="14.25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</row>
    <row x14ac:dyDescent="0.25" r="449" customHeight="1" ht="14.25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</row>
    <row x14ac:dyDescent="0.25" r="450" customHeight="1" ht="14.25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</row>
    <row x14ac:dyDescent="0.25" r="451" customHeight="1" ht="14.25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</row>
    <row x14ac:dyDescent="0.25" r="452" customHeight="1" ht="14.25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</row>
    <row x14ac:dyDescent="0.25" r="453" customHeight="1" ht="14.25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</row>
    <row x14ac:dyDescent="0.25" r="454" customHeight="1" ht="14.25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</row>
    <row x14ac:dyDescent="0.25" r="455" customHeight="1" ht="14.2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</row>
    <row x14ac:dyDescent="0.25" r="456" customHeight="1" ht="14.25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</row>
    <row x14ac:dyDescent="0.25" r="457" customHeight="1" ht="14.2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</row>
    <row x14ac:dyDescent="0.25" r="458" customHeight="1" ht="14.25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</row>
    <row x14ac:dyDescent="0.25" r="459" customHeight="1" ht="14.25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</row>
    <row x14ac:dyDescent="0.25" r="460" customHeight="1" ht="14.25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</row>
    <row x14ac:dyDescent="0.25" r="461" customHeight="1" ht="14.25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</row>
    <row x14ac:dyDescent="0.25" r="462" customHeight="1" ht="14.25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</row>
    <row x14ac:dyDescent="0.25" r="463" customHeight="1" ht="14.25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</row>
    <row x14ac:dyDescent="0.25" r="464" customHeight="1" ht="14.25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</row>
    <row x14ac:dyDescent="0.25" r="465" customHeight="1" ht="14.2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</row>
    <row x14ac:dyDescent="0.25" r="466" customHeight="1" ht="14.25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</row>
    <row x14ac:dyDescent="0.25" r="467" customHeight="1" ht="14.25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</row>
    <row x14ac:dyDescent="0.25" r="468" customHeight="1" ht="14.25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</row>
    <row x14ac:dyDescent="0.25" r="469" customHeight="1" ht="14.25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</row>
    <row x14ac:dyDescent="0.25" r="470" customHeight="1" ht="14.25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</row>
    <row x14ac:dyDescent="0.25" r="471" customHeight="1" ht="14.25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</row>
    <row x14ac:dyDescent="0.25" r="472" customHeight="1" ht="14.25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</row>
    <row x14ac:dyDescent="0.25" r="473" customHeight="1" ht="14.25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</row>
    <row x14ac:dyDescent="0.25" r="474" customHeight="1" ht="14.25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</row>
    <row x14ac:dyDescent="0.25" r="475" customHeight="1" ht="14.2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</row>
    <row x14ac:dyDescent="0.25" r="476" customHeight="1" ht="14.25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</row>
    <row x14ac:dyDescent="0.25" r="477" customHeight="1" ht="14.25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</row>
    <row x14ac:dyDescent="0.25" r="478" customHeight="1" ht="14.25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</row>
    <row x14ac:dyDescent="0.25" r="479" customHeight="1" ht="14.25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</row>
    <row x14ac:dyDescent="0.25" r="480" customHeight="1" ht="14.25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</row>
    <row x14ac:dyDescent="0.25" r="481" customHeight="1" ht="14.25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</row>
    <row x14ac:dyDescent="0.25" r="482" customHeight="1" ht="14.25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</row>
    <row x14ac:dyDescent="0.25" r="483" customHeight="1" ht="14.25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</row>
    <row x14ac:dyDescent="0.25" r="484" customHeight="1" ht="14.25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</row>
    <row x14ac:dyDescent="0.25" r="485" customHeight="1" ht="14.2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</row>
    <row x14ac:dyDescent="0.25" r="486" customHeight="1" ht="14.25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</row>
    <row x14ac:dyDescent="0.25" r="487" customHeight="1" ht="14.25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</row>
    <row x14ac:dyDescent="0.25" r="488" customHeight="1" ht="14.25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</row>
    <row x14ac:dyDescent="0.25" r="489" customHeight="1" ht="14.25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</row>
    <row x14ac:dyDescent="0.25" r="490" customHeight="1" ht="14.25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</row>
    <row x14ac:dyDescent="0.25" r="491" customHeight="1" ht="14.25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</row>
    <row x14ac:dyDescent="0.25" r="492" customHeight="1" ht="14.25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</row>
    <row x14ac:dyDescent="0.25" r="493" customHeight="1" ht="14.2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</row>
    <row x14ac:dyDescent="0.25" r="494" customHeight="1" ht="14.25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</row>
    <row x14ac:dyDescent="0.25" r="495" customHeight="1" ht="14.2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</row>
    <row x14ac:dyDescent="0.25" r="496" customHeight="1" ht="14.25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</row>
    <row x14ac:dyDescent="0.25" r="497" customHeight="1" ht="14.25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</row>
    <row x14ac:dyDescent="0.25" r="498" customHeight="1" ht="14.25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</row>
    <row x14ac:dyDescent="0.25" r="499" customHeight="1" ht="14.25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</row>
    <row x14ac:dyDescent="0.25" r="500" customHeight="1" ht="14.25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</row>
    <row x14ac:dyDescent="0.25" r="501" customHeight="1" ht="14.25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</row>
    <row x14ac:dyDescent="0.25" r="502" customHeight="1" ht="14.25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</row>
    <row x14ac:dyDescent="0.25" r="503" customHeight="1" ht="14.25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</row>
    <row x14ac:dyDescent="0.25" r="504" customHeight="1" ht="14.25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</row>
    <row x14ac:dyDescent="0.25" r="505" customHeight="1" ht="14.2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</row>
    <row x14ac:dyDescent="0.25" r="506" customHeight="1" ht="14.25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</row>
    <row x14ac:dyDescent="0.25" r="507" customHeight="1" ht="14.25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</row>
    <row x14ac:dyDescent="0.25" r="508" customHeight="1" ht="14.25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</row>
    <row x14ac:dyDescent="0.25" r="509" customHeight="1" ht="14.25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</row>
    <row x14ac:dyDescent="0.25" r="510" customHeight="1" ht="14.25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</row>
    <row x14ac:dyDescent="0.25" r="511" customHeight="1" ht="14.2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</row>
    <row x14ac:dyDescent="0.25" r="512" customHeight="1" ht="14.25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</row>
    <row x14ac:dyDescent="0.25" r="513" customHeight="1" ht="14.25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</row>
    <row x14ac:dyDescent="0.25" r="514" customHeight="1" ht="14.25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</row>
    <row x14ac:dyDescent="0.25" r="515" customHeight="1" ht="14.2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</row>
    <row x14ac:dyDescent="0.25" r="516" customHeight="1" ht="14.25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</row>
    <row x14ac:dyDescent="0.25" r="517" customHeight="1" ht="14.25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</row>
    <row x14ac:dyDescent="0.25" r="518" customHeight="1" ht="14.25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</row>
    <row x14ac:dyDescent="0.25" r="519" customHeight="1" ht="14.25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</row>
    <row x14ac:dyDescent="0.25" r="520" customHeight="1" ht="14.25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</row>
    <row x14ac:dyDescent="0.25" r="521" customHeight="1" ht="14.25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</row>
    <row x14ac:dyDescent="0.25" r="522" customHeight="1" ht="14.25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</row>
    <row x14ac:dyDescent="0.25" r="523" customHeight="1" ht="14.25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</row>
    <row x14ac:dyDescent="0.25" r="524" customHeight="1" ht="14.25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</row>
    <row x14ac:dyDescent="0.25" r="525" customHeight="1" ht="14.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</row>
    <row x14ac:dyDescent="0.25" r="526" customHeight="1" ht="14.25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</row>
    <row x14ac:dyDescent="0.25" r="527" customHeight="1" ht="14.25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</row>
    <row x14ac:dyDescent="0.25" r="528" customHeight="1" ht="14.25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</row>
    <row x14ac:dyDescent="0.25" r="529" customHeight="1" ht="14.2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</row>
    <row x14ac:dyDescent="0.25" r="530" customHeight="1" ht="14.25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</row>
    <row x14ac:dyDescent="0.25" r="531" customHeight="1" ht="14.25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</row>
    <row x14ac:dyDescent="0.25" r="532" customHeight="1" ht="14.25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</row>
    <row x14ac:dyDescent="0.25" r="533" customHeight="1" ht="14.25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</row>
    <row x14ac:dyDescent="0.25" r="534" customHeight="1" ht="14.25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</row>
    <row x14ac:dyDescent="0.25" r="535" customHeight="1" ht="14.2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</row>
    <row x14ac:dyDescent="0.25" r="536" customHeight="1" ht="14.25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</row>
    <row x14ac:dyDescent="0.25" r="537" customHeight="1" ht="14.25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</row>
    <row x14ac:dyDescent="0.25" r="538" customHeight="1" ht="14.25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</row>
    <row x14ac:dyDescent="0.25" r="539" customHeight="1" ht="14.25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</row>
    <row x14ac:dyDescent="0.25" r="540" customHeight="1" ht="14.25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</row>
    <row x14ac:dyDescent="0.25" r="541" customHeight="1" ht="14.25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</row>
    <row x14ac:dyDescent="0.25" r="542" customHeight="1" ht="14.25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</row>
    <row x14ac:dyDescent="0.25" r="543" customHeight="1" ht="14.25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</row>
    <row x14ac:dyDescent="0.25" r="544" customHeight="1" ht="14.25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</row>
    <row x14ac:dyDescent="0.25" r="545" customHeight="1" ht="14.2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</row>
    <row x14ac:dyDescent="0.25" r="546" customHeight="1" ht="14.25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</row>
    <row x14ac:dyDescent="0.25" r="547" customHeight="1" ht="14.2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</row>
    <row x14ac:dyDescent="0.25" r="548" customHeight="1" ht="14.25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</row>
    <row x14ac:dyDescent="0.25" r="549" customHeight="1" ht="14.25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</row>
    <row x14ac:dyDescent="0.25" r="550" customHeight="1" ht="14.25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</row>
    <row x14ac:dyDescent="0.25" r="551" customHeight="1" ht="14.25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</row>
    <row x14ac:dyDescent="0.25" r="552" customHeight="1" ht="14.25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</row>
    <row x14ac:dyDescent="0.25" r="553" customHeight="1" ht="14.25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</row>
    <row x14ac:dyDescent="0.25" r="554" customHeight="1" ht="14.25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</row>
    <row x14ac:dyDescent="0.25" r="555" customHeight="1" ht="14.2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</row>
    <row x14ac:dyDescent="0.25" r="556" customHeight="1" ht="14.25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</row>
    <row x14ac:dyDescent="0.25" r="557" customHeight="1" ht="14.25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</row>
    <row x14ac:dyDescent="0.25" r="558" customHeight="1" ht="14.25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</row>
    <row x14ac:dyDescent="0.25" r="559" customHeight="1" ht="14.25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</row>
    <row x14ac:dyDescent="0.25" r="560" customHeight="1" ht="14.25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</row>
    <row x14ac:dyDescent="0.25" r="561" customHeight="1" ht="14.25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</row>
    <row x14ac:dyDescent="0.25" r="562" customHeight="1" ht="14.25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</row>
    <row x14ac:dyDescent="0.25" r="563" customHeight="1" ht="14.25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</row>
    <row x14ac:dyDescent="0.25" r="564" customHeight="1" ht="14.25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</row>
    <row x14ac:dyDescent="0.25" r="565" customHeight="1" ht="14.2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</row>
    <row x14ac:dyDescent="0.25" r="566" customHeight="1" ht="14.25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</row>
    <row x14ac:dyDescent="0.25" r="567" customHeight="1" ht="14.25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</row>
    <row x14ac:dyDescent="0.25" r="568" customHeight="1" ht="14.25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</row>
    <row x14ac:dyDescent="0.25" r="569" customHeight="1" ht="14.25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</row>
    <row x14ac:dyDescent="0.25" r="570" customHeight="1" ht="14.25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</row>
    <row x14ac:dyDescent="0.25" r="571" customHeight="1" ht="14.25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</row>
    <row x14ac:dyDescent="0.25" r="572" customHeight="1" ht="14.25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</row>
    <row x14ac:dyDescent="0.25" r="573" customHeight="1" ht="14.25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</row>
    <row x14ac:dyDescent="0.25" r="574" customHeight="1" ht="14.25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</row>
    <row x14ac:dyDescent="0.25" r="575" customHeight="1" ht="14.2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</row>
    <row x14ac:dyDescent="0.25" r="576" customHeight="1" ht="14.25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</row>
    <row x14ac:dyDescent="0.25" r="577" customHeight="1" ht="14.25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</row>
    <row x14ac:dyDescent="0.25" r="578" customHeight="1" ht="14.25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</row>
    <row x14ac:dyDescent="0.25" r="579" customHeight="1" ht="14.25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</row>
    <row x14ac:dyDescent="0.25" r="580" customHeight="1" ht="14.25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</row>
    <row x14ac:dyDescent="0.25" r="581" customHeight="1" ht="14.25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</row>
    <row x14ac:dyDescent="0.25" r="582" customHeight="1" ht="14.25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</row>
    <row x14ac:dyDescent="0.25" r="583" customHeight="1" ht="14.2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</row>
    <row x14ac:dyDescent="0.25" r="584" customHeight="1" ht="14.25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</row>
    <row x14ac:dyDescent="0.25" r="585" customHeight="1" ht="14.2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</row>
    <row x14ac:dyDescent="0.25" r="586" customHeight="1" ht="14.25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</row>
    <row x14ac:dyDescent="0.25" r="587" customHeight="1" ht="14.25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</row>
    <row x14ac:dyDescent="0.25" r="588" customHeight="1" ht="14.25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</row>
    <row x14ac:dyDescent="0.25" r="589" customHeight="1" ht="14.25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</row>
    <row x14ac:dyDescent="0.25" r="590" customHeight="1" ht="14.25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</row>
    <row x14ac:dyDescent="0.25" r="591" customHeight="1" ht="14.25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</row>
    <row x14ac:dyDescent="0.25" r="592" customHeight="1" ht="14.25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</row>
    <row x14ac:dyDescent="0.25" r="593" customHeight="1" ht="14.25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</row>
    <row x14ac:dyDescent="0.25" r="594" customHeight="1" ht="14.25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</row>
    <row x14ac:dyDescent="0.25" r="595" customHeight="1" ht="14.2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</row>
    <row x14ac:dyDescent="0.25" r="596" customHeight="1" ht="14.25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</row>
    <row x14ac:dyDescent="0.25" r="597" customHeight="1" ht="14.25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</row>
    <row x14ac:dyDescent="0.25" r="598" customHeight="1" ht="14.25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</row>
    <row x14ac:dyDescent="0.25" r="599" customHeight="1" ht="14.25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</row>
    <row x14ac:dyDescent="0.25" r="600" customHeight="1" ht="14.25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</row>
    <row x14ac:dyDescent="0.25" r="601" customHeight="1" ht="14.2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</row>
    <row x14ac:dyDescent="0.25" r="602" customHeight="1" ht="14.25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</row>
    <row x14ac:dyDescent="0.25" r="603" customHeight="1" ht="14.25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</row>
    <row x14ac:dyDescent="0.25" r="604" customHeight="1" ht="14.25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</row>
    <row x14ac:dyDescent="0.25" r="605" customHeight="1" ht="14.2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</row>
    <row x14ac:dyDescent="0.25" r="606" customHeight="1" ht="14.25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</row>
    <row x14ac:dyDescent="0.25" r="607" customHeight="1" ht="14.25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</row>
    <row x14ac:dyDescent="0.25" r="608" customHeight="1" ht="14.25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</row>
    <row x14ac:dyDescent="0.25" r="609" customHeight="1" ht="14.25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</row>
    <row x14ac:dyDescent="0.25" r="610" customHeight="1" ht="14.25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</row>
    <row x14ac:dyDescent="0.25" r="611" customHeight="1" ht="14.25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</row>
    <row x14ac:dyDescent="0.25" r="612" customHeight="1" ht="14.25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</row>
    <row x14ac:dyDescent="0.25" r="613" customHeight="1" ht="14.25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</row>
    <row x14ac:dyDescent="0.25" r="614" customHeight="1" ht="14.25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</row>
    <row x14ac:dyDescent="0.25" r="615" customHeight="1" ht="14.2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</row>
    <row x14ac:dyDescent="0.25" r="616" customHeight="1" ht="14.25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</row>
    <row x14ac:dyDescent="0.25" r="617" customHeight="1" ht="14.25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</row>
    <row x14ac:dyDescent="0.25" r="618" customHeight="1" ht="14.25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</row>
    <row x14ac:dyDescent="0.25" r="619" customHeight="1" ht="14.2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</row>
    <row x14ac:dyDescent="0.25" r="620" customHeight="1" ht="14.25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</row>
    <row x14ac:dyDescent="0.25" r="621" customHeight="1" ht="14.25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</row>
    <row x14ac:dyDescent="0.25" r="622" customHeight="1" ht="14.25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</row>
    <row x14ac:dyDescent="0.25" r="623" customHeight="1" ht="14.25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</row>
    <row x14ac:dyDescent="0.25" r="624" customHeight="1" ht="14.25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</row>
    <row x14ac:dyDescent="0.25" r="625" customHeight="1" ht="14.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</row>
    <row x14ac:dyDescent="0.25" r="626" customHeight="1" ht="14.25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</row>
    <row x14ac:dyDescent="0.25" r="627" customHeight="1" ht="14.25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</row>
    <row x14ac:dyDescent="0.25" r="628" customHeight="1" ht="14.25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</row>
    <row x14ac:dyDescent="0.25" r="629" customHeight="1" ht="14.25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</row>
    <row x14ac:dyDescent="0.25" r="630" customHeight="1" ht="14.25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</row>
    <row x14ac:dyDescent="0.25" r="631" customHeight="1" ht="14.25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</row>
    <row x14ac:dyDescent="0.25" r="632" customHeight="1" ht="14.25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</row>
    <row x14ac:dyDescent="0.25" r="633" customHeight="1" ht="14.25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</row>
    <row x14ac:dyDescent="0.25" r="634" customHeight="1" ht="14.25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</row>
    <row x14ac:dyDescent="0.25" r="635" customHeight="1" ht="14.2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</row>
    <row x14ac:dyDescent="0.25" r="636" customHeight="1" ht="14.25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</row>
    <row x14ac:dyDescent="0.25" r="637" customHeight="1" ht="14.2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</row>
    <row x14ac:dyDescent="0.25" r="638" customHeight="1" ht="14.25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</row>
    <row x14ac:dyDescent="0.25" r="639" customHeight="1" ht="14.25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</row>
    <row x14ac:dyDescent="0.25" r="640" customHeight="1" ht="14.25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</row>
    <row x14ac:dyDescent="0.25" r="641" customHeight="1" ht="14.25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</row>
    <row x14ac:dyDescent="0.25" r="642" customHeight="1" ht="14.25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</row>
    <row x14ac:dyDescent="0.25" r="643" customHeight="1" ht="14.25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</row>
    <row x14ac:dyDescent="0.25" r="644" customHeight="1" ht="14.25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</row>
    <row x14ac:dyDescent="0.25" r="645" customHeight="1" ht="14.2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</row>
    <row x14ac:dyDescent="0.25" r="646" customHeight="1" ht="14.25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</row>
    <row x14ac:dyDescent="0.25" r="647" customHeight="1" ht="14.25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</row>
    <row x14ac:dyDescent="0.25" r="648" customHeight="1" ht="14.25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</row>
    <row x14ac:dyDescent="0.25" r="649" customHeight="1" ht="14.25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</row>
    <row x14ac:dyDescent="0.25" r="650" customHeight="1" ht="14.25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</row>
    <row x14ac:dyDescent="0.25" r="651" customHeight="1" ht="14.25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</row>
    <row x14ac:dyDescent="0.25" r="652" customHeight="1" ht="14.25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</row>
    <row x14ac:dyDescent="0.25" r="653" customHeight="1" ht="14.25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</row>
    <row x14ac:dyDescent="0.25" r="654" customHeight="1" ht="14.25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</row>
    <row x14ac:dyDescent="0.25" r="655" customHeight="1" ht="14.2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</row>
    <row x14ac:dyDescent="0.25" r="656" customHeight="1" ht="14.25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</row>
    <row x14ac:dyDescent="0.25" r="657" customHeight="1" ht="14.25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</row>
    <row x14ac:dyDescent="0.25" r="658" customHeight="1" ht="14.25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</row>
    <row x14ac:dyDescent="0.25" r="659" customHeight="1" ht="14.25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</row>
    <row x14ac:dyDescent="0.25" r="660" customHeight="1" ht="14.25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</row>
    <row x14ac:dyDescent="0.25" r="661" customHeight="1" ht="14.25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</row>
    <row x14ac:dyDescent="0.25" r="662" customHeight="1" ht="14.25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</row>
    <row x14ac:dyDescent="0.25" r="663" customHeight="1" ht="14.25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</row>
    <row x14ac:dyDescent="0.25" r="664" customHeight="1" ht="14.25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</row>
    <row x14ac:dyDescent="0.25" r="665" customHeight="1" ht="14.2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</row>
    <row x14ac:dyDescent="0.25" r="666" customHeight="1" ht="14.25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</row>
    <row x14ac:dyDescent="0.25" r="667" customHeight="1" ht="14.25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</row>
    <row x14ac:dyDescent="0.25" r="668" customHeight="1" ht="14.25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</row>
    <row x14ac:dyDescent="0.25" r="669" customHeight="1" ht="14.25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</row>
    <row x14ac:dyDescent="0.25" r="670" customHeight="1" ht="14.25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</row>
    <row x14ac:dyDescent="0.25" r="671" customHeight="1" ht="14.25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</row>
    <row x14ac:dyDescent="0.25" r="672" customHeight="1" ht="14.25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</row>
    <row x14ac:dyDescent="0.25" r="673" customHeight="1" ht="14.2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</row>
    <row x14ac:dyDescent="0.25" r="674" customHeight="1" ht="14.25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</row>
    <row x14ac:dyDescent="0.25" r="675" customHeight="1" ht="14.2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</row>
    <row x14ac:dyDescent="0.25" r="676" customHeight="1" ht="14.25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</row>
    <row x14ac:dyDescent="0.25" r="677" customHeight="1" ht="14.25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</row>
    <row x14ac:dyDescent="0.25" r="678" customHeight="1" ht="14.25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</row>
    <row x14ac:dyDescent="0.25" r="679" customHeight="1" ht="14.25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</row>
    <row x14ac:dyDescent="0.25" r="680" customHeight="1" ht="14.25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</row>
    <row x14ac:dyDescent="0.25" r="681" customHeight="1" ht="14.25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</row>
    <row x14ac:dyDescent="0.25" r="682" customHeight="1" ht="14.25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</row>
    <row x14ac:dyDescent="0.25" r="683" customHeight="1" ht="14.25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</row>
    <row x14ac:dyDescent="0.25" r="684" customHeight="1" ht="14.25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</row>
    <row x14ac:dyDescent="0.25" r="685" customHeight="1" ht="14.2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</row>
    <row x14ac:dyDescent="0.25" r="686" customHeight="1" ht="14.25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</row>
    <row x14ac:dyDescent="0.25" r="687" customHeight="1" ht="14.25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</row>
    <row x14ac:dyDescent="0.25" r="688" customHeight="1" ht="14.25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</row>
    <row x14ac:dyDescent="0.25" r="689" customHeight="1" ht="14.25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</row>
    <row x14ac:dyDescent="0.25" r="690" customHeight="1" ht="14.25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</row>
    <row x14ac:dyDescent="0.25" r="691" customHeight="1" ht="14.2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</row>
    <row x14ac:dyDescent="0.25" r="692" customHeight="1" ht="14.25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</row>
    <row x14ac:dyDescent="0.25" r="693" customHeight="1" ht="14.25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</row>
    <row x14ac:dyDescent="0.25" r="694" customHeight="1" ht="14.25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</row>
    <row x14ac:dyDescent="0.25" r="695" customHeight="1" ht="14.2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</row>
    <row x14ac:dyDescent="0.25" r="696" customHeight="1" ht="14.25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</row>
    <row x14ac:dyDescent="0.25" r="697" customHeight="1" ht="14.25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</row>
    <row x14ac:dyDescent="0.25" r="698" customHeight="1" ht="14.25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</row>
    <row x14ac:dyDescent="0.25" r="699" customHeight="1" ht="14.25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</row>
    <row x14ac:dyDescent="0.25" r="700" customHeight="1" ht="14.25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</row>
    <row x14ac:dyDescent="0.25" r="701" customHeight="1" ht="14.25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</row>
    <row x14ac:dyDescent="0.25" r="702" customHeight="1" ht="14.25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</row>
    <row x14ac:dyDescent="0.25" r="703" customHeight="1" ht="14.25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</row>
    <row x14ac:dyDescent="0.25" r="704" customHeight="1" ht="14.25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</row>
    <row x14ac:dyDescent="0.25" r="705" customHeight="1" ht="14.2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</row>
    <row x14ac:dyDescent="0.25" r="706" customHeight="1" ht="14.25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</row>
    <row x14ac:dyDescent="0.25" r="707" customHeight="1" ht="14.25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</row>
    <row x14ac:dyDescent="0.25" r="708" customHeight="1" ht="14.25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</row>
    <row x14ac:dyDescent="0.25" r="709" customHeight="1" ht="14.2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</row>
    <row x14ac:dyDescent="0.25" r="710" customHeight="1" ht="14.25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</row>
    <row x14ac:dyDescent="0.25" r="711" customHeight="1" ht="14.25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</row>
    <row x14ac:dyDescent="0.25" r="712" customHeight="1" ht="14.25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</row>
    <row x14ac:dyDescent="0.25" r="713" customHeight="1" ht="14.25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</row>
    <row x14ac:dyDescent="0.25" r="714" customHeight="1" ht="14.25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</row>
    <row x14ac:dyDescent="0.25" r="715" customHeight="1" ht="14.2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</row>
    <row x14ac:dyDescent="0.25" r="716" customHeight="1" ht="14.25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</row>
    <row x14ac:dyDescent="0.25" r="717" customHeight="1" ht="14.25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</row>
    <row x14ac:dyDescent="0.25" r="718" customHeight="1" ht="14.25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</row>
    <row x14ac:dyDescent="0.25" r="719" customHeight="1" ht="14.25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</row>
    <row x14ac:dyDescent="0.25" r="720" customHeight="1" ht="14.25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</row>
    <row x14ac:dyDescent="0.25" r="721" customHeight="1" ht="14.25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</row>
    <row x14ac:dyDescent="0.25" r="722" customHeight="1" ht="14.25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</row>
    <row x14ac:dyDescent="0.25" r="723" customHeight="1" ht="14.25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</row>
    <row x14ac:dyDescent="0.25" r="724" customHeight="1" ht="14.25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</row>
    <row x14ac:dyDescent="0.25" r="725" customHeight="1" ht="14.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</row>
    <row x14ac:dyDescent="0.25" r="726" customHeight="1" ht="14.25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</row>
    <row x14ac:dyDescent="0.25" r="727" customHeight="1" ht="14.2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</row>
    <row x14ac:dyDescent="0.25" r="728" customHeight="1" ht="14.25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</row>
    <row x14ac:dyDescent="0.25" r="729" customHeight="1" ht="14.25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</row>
    <row x14ac:dyDescent="0.25" r="730" customHeight="1" ht="14.25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</row>
    <row x14ac:dyDescent="0.25" r="731" customHeight="1" ht="14.25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</row>
    <row x14ac:dyDescent="0.25" r="732" customHeight="1" ht="14.25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</row>
    <row x14ac:dyDescent="0.25" r="733" customHeight="1" ht="14.25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</row>
    <row x14ac:dyDescent="0.25" r="734" customHeight="1" ht="14.25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</row>
    <row x14ac:dyDescent="0.25" r="735" customHeight="1" ht="14.2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</row>
    <row x14ac:dyDescent="0.25" r="736" customHeight="1" ht="14.25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</row>
    <row x14ac:dyDescent="0.25" r="737" customHeight="1" ht="14.25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</row>
    <row x14ac:dyDescent="0.25" r="738" customHeight="1" ht="14.25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</row>
    <row x14ac:dyDescent="0.25" r="739" customHeight="1" ht="14.25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</row>
    <row x14ac:dyDescent="0.25" r="740" customHeight="1" ht="14.25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</row>
    <row x14ac:dyDescent="0.25" r="741" customHeight="1" ht="14.25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</row>
    <row x14ac:dyDescent="0.25" r="742" customHeight="1" ht="14.25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</row>
    <row x14ac:dyDescent="0.25" r="743" customHeight="1" ht="14.25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</row>
    <row x14ac:dyDescent="0.25" r="744" customHeight="1" ht="14.25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</row>
    <row x14ac:dyDescent="0.25" r="745" customHeight="1" ht="14.2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</row>
    <row x14ac:dyDescent="0.25" r="746" customHeight="1" ht="14.25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</row>
    <row x14ac:dyDescent="0.25" r="747" customHeight="1" ht="14.25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</row>
    <row x14ac:dyDescent="0.25" r="748" customHeight="1" ht="14.25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</row>
    <row x14ac:dyDescent="0.25" r="749" customHeight="1" ht="14.25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</row>
    <row x14ac:dyDescent="0.25" r="750" customHeight="1" ht="14.25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</row>
    <row x14ac:dyDescent="0.25" r="751" customHeight="1" ht="14.25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</row>
    <row x14ac:dyDescent="0.25" r="752" customHeight="1" ht="14.25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</row>
    <row x14ac:dyDescent="0.25" r="753" customHeight="1" ht="14.25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</row>
    <row x14ac:dyDescent="0.25" r="754" customHeight="1" ht="14.25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</row>
    <row x14ac:dyDescent="0.25" r="755" customHeight="1" ht="14.2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</row>
    <row x14ac:dyDescent="0.25" r="756" customHeight="1" ht="14.25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</row>
    <row x14ac:dyDescent="0.25" r="757" customHeight="1" ht="14.25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</row>
    <row x14ac:dyDescent="0.25" r="758" customHeight="1" ht="14.25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</row>
    <row x14ac:dyDescent="0.25" r="759" customHeight="1" ht="14.25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</row>
    <row x14ac:dyDescent="0.25" r="760" customHeight="1" ht="14.25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</row>
    <row x14ac:dyDescent="0.25" r="761" customHeight="1" ht="14.25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</row>
    <row x14ac:dyDescent="0.25" r="762" customHeight="1" ht="14.25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</row>
    <row x14ac:dyDescent="0.25" r="763" customHeight="1" ht="14.2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</row>
    <row x14ac:dyDescent="0.25" r="764" customHeight="1" ht="14.25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</row>
    <row x14ac:dyDescent="0.25" r="765" customHeight="1" ht="14.2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</row>
    <row x14ac:dyDescent="0.25" r="766" customHeight="1" ht="14.25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</row>
    <row x14ac:dyDescent="0.25" r="767" customHeight="1" ht="14.25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</row>
    <row x14ac:dyDescent="0.25" r="768" customHeight="1" ht="14.25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</row>
    <row x14ac:dyDescent="0.25" r="769" customHeight="1" ht="14.25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</row>
    <row x14ac:dyDescent="0.25" r="770" customHeight="1" ht="14.25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</row>
    <row x14ac:dyDescent="0.25" r="771" customHeight="1" ht="14.25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</row>
    <row x14ac:dyDescent="0.25" r="772" customHeight="1" ht="14.25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</row>
    <row x14ac:dyDescent="0.25" r="773" customHeight="1" ht="14.25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</row>
    <row x14ac:dyDescent="0.25" r="774" customHeight="1" ht="14.25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</row>
    <row x14ac:dyDescent="0.25" r="775" customHeight="1" ht="14.2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</row>
    <row x14ac:dyDescent="0.25" r="776" customHeight="1" ht="14.25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</row>
    <row x14ac:dyDescent="0.25" r="777" customHeight="1" ht="14.25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</row>
    <row x14ac:dyDescent="0.25" r="778" customHeight="1" ht="14.25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</row>
    <row x14ac:dyDescent="0.25" r="779" customHeight="1" ht="14.25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</row>
    <row x14ac:dyDescent="0.25" r="780" customHeight="1" ht="14.25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</row>
    <row x14ac:dyDescent="0.25" r="781" customHeight="1" ht="14.2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</row>
    <row x14ac:dyDescent="0.25" r="782" customHeight="1" ht="14.25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</row>
    <row x14ac:dyDescent="0.25" r="783" customHeight="1" ht="14.25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</row>
    <row x14ac:dyDescent="0.25" r="784" customHeight="1" ht="14.25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</row>
    <row x14ac:dyDescent="0.25" r="785" customHeight="1" ht="14.2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</row>
    <row x14ac:dyDescent="0.25" r="786" customHeight="1" ht="14.25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</row>
    <row x14ac:dyDescent="0.25" r="787" customHeight="1" ht="14.25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</row>
    <row x14ac:dyDescent="0.25" r="788" customHeight="1" ht="14.25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</row>
    <row x14ac:dyDescent="0.25" r="789" customHeight="1" ht="14.25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</row>
    <row x14ac:dyDescent="0.25" r="790" customHeight="1" ht="14.25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</row>
    <row x14ac:dyDescent="0.25" r="791" customHeight="1" ht="14.25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</row>
    <row x14ac:dyDescent="0.25" r="792" customHeight="1" ht="14.25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</row>
    <row x14ac:dyDescent="0.25" r="793" customHeight="1" ht="14.25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</row>
    <row x14ac:dyDescent="0.25" r="794" customHeight="1" ht="14.25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</row>
    <row x14ac:dyDescent="0.25" r="795" customHeight="1" ht="14.2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</row>
    <row x14ac:dyDescent="0.25" r="796" customHeight="1" ht="14.25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</row>
    <row x14ac:dyDescent="0.25" r="797" customHeight="1" ht="14.25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</row>
    <row x14ac:dyDescent="0.25" r="798" customHeight="1" ht="14.25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</row>
    <row x14ac:dyDescent="0.25" r="799" customHeight="1" ht="14.2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</row>
    <row x14ac:dyDescent="0.25" r="800" customHeight="1" ht="14.25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</row>
    <row x14ac:dyDescent="0.25" r="801" customHeight="1" ht="14.25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</row>
    <row x14ac:dyDescent="0.25" r="802" customHeight="1" ht="14.25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</row>
    <row x14ac:dyDescent="0.25" r="803" customHeight="1" ht="14.25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</row>
    <row x14ac:dyDescent="0.25" r="804" customHeight="1" ht="14.25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</row>
    <row x14ac:dyDescent="0.25" r="805" customHeight="1" ht="14.2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</row>
    <row x14ac:dyDescent="0.25" r="806" customHeight="1" ht="14.25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</row>
    <row x14ac:dyDescent="0.25" r="807" customHeight="1" ht="14.25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</row>
    <row x14ac:dyDescent="0.25" r="808" customHeight="1" ht="14.25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</row>
    <row x14ac:dyDescent="0.25" r="809" customHeight="1" ht="14.25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</row>
    <row x14ac:dyDescent="0.25" r="810" customHeight="1" ht="14.25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</row>
    <row x14ac:dyDescent="0.25" r="811" customHeight="1" ht="14.25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</row>
    <row x14ac:dyDescent="0.25" r="812" customHeight="1" ht="14.25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</row>
    <row x14ac:dyDescent="0.25" r="813" customHeight="1" ht="14.25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</row>
    <row x14ac:dyDescent="0.25" r="814" customHeight="1" ht="14.25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</row>
    <row x14ac:dyDescent="0.25" r="815" customHeight="1" ht="14.2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</row>
    <row x14ac:dyDescent="0.25" r="816" customHeight="1" ht="14.25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</row>
    <row x14ac:dyDescent="0.25" r="817" customHeight="1" ht="14.2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</row>
    <row x14ac:dyDescent="0.25" r="818" customHeight="1" ht="14.25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</row>
    <row x14ac:dyDescent="0.25" r="819" customHeight="1" ht="14.25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</row>
    <row x14ac:dyDescent="0.25" r="820" customHeight="1" ht="14.25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</row>
    <row x14ac:dyDescent="0.25" r="821" customHeight="1" ht="14.25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</row>
    <row x14ac:dyDescent="0.25" r="822" customHeight="1" ht="14.25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</row>
    <row x14ac:dyDescent="0.25" r="823" customHeight="1" ht="14.25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</row>
    <row x14ac:dyDescent="0.25" r="824" customHeight="1" ht="14.25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</row>
    <row x14ac:dyDescent="0.25" r="825" customHeight="1" ht="14.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</row>
    <row x14ac:dyDescent="0.25" r="826" customHeight="1" ht="14.25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</row>
    <row x14ac:dyDescent="0.25" r="827" customHeight="1" ht="14.25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</row>
    <row x14ac:dyDescent="0.25" r="828" customHeight="1" ht="14.25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</row>
    <row x14ac:dyDescent="0.25" r="829" customHeight="1" ht="14.25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</row>
    <row x14ac:dyDescent="0.25" r="830" customHeight="1" ht="14.25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</row>
    <row x14ac:dyDescent="0.25" r="831" customHeight="1" ht="14.25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</row>
    <row x14ac:dyDescent="0.25" r="832" customHeight="1" ht="14.25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</row>
    <row x14ac:dyDescent="0.25" r="833" customHeight="1" ht="14.25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</row>
    <row x14ac:dyDescent="0.25" r="834" customHeight="1" ht="14.25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</row>
    <row x14ac:dyDescent="0.25" r="835" customHeight="1" ht="14.2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</row>
    <row x14ac:dyDescent="0.25" r="836" customHeight="1" ht="14.25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</row>
    <row x14ac:dyDescent="0.25" r="837" customHeight="1" ht="14.25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</row>
    <row x14ac:dyDescent="0.25" r="838" customHeight="1" ht="14.25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</row>
    <row x14ac:dyDescent="0.25" r="839" customHeight="1" ht="14.25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</row>
    <row x14ac:dyDescent="0.25" r="840" customHeight="1" ht="14.25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</row>
    <row x14ac:dyDescent="0.25" r="841" customHeight="1" ht="14.25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</row>
    <row x14ac:dyDescent="0.25" r="842" customHeight="1" ht="14.25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</row>
    <row x14ac:dyDescent="0.25" r="843" customHeight="1" ht="14.25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</row>
    <row x14ac:dyDescent="0.25" r="844" customHeight="1" ht="14.25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</row>
    <row x14ac:dyDescent="0.25" r="845" customHeight="1" ht="14.2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</row>
    <row x14ac:dyDescent="0.25" r="846" customHeight="1" ht="14.25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</row>
    <row x14ac:dyDescent="0.25" r="847" customHeight="1" ht="14.25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</row>
    <row x14ac:dyDescent="0.25" r="848" customHeight="1" ht="14.25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</row>
    <row x14ac:dyDescent="0.25" r="849" customHeight="1" ht="14.25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</row>
    <row x14ac:dyDescent="0.25" r="850" customHeight="1" ht="14.25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</row>
    <row x14ac:dyDescent="0.25" r="851" customHeight="1" ht="14.25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</row>
    <row x14ac:dyDescent="0.25" r="852" customHeight="1" ht="14.25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</row>
    <row x14ac:dyDescent="0.25" r="853" customHeight="1" ht="14.2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</row>
    <row x14ac:dyDescent="0.25" r="854" customHeight="1" ht="14.25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</row>
    <row x14ac:dyDescent="0.25" r="855" customHeight="1" ht="14.2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</row>
    <row x14ac:dyDescent="0.25" r="856" customHeight="1" ht="14.25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</row>
    <row x14ac:dyDescent="0.25" r="857" customHeight="1" ht="14.25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</row>
    <row x14ac:dyDescent="0.25" r="858" customHeight="1" ht="14.25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</row>
    <row x14ac:dyDescent="0.25" r="859" customHeight="1" ht="14.25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</row>
    <row x14ac:dyDescent="0.25" r="860" customHeight="1" ht="14.25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</row>
    <row x14ac:dyDescent="0.25" r="861" customHeight="1" ht="14.25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</row>
    <row x14ac:dyDescent="0.25" r="862" customHeight="1" ht="14.25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</row>
    <row x14ac:dyDescent="0.25" r="863" customHeight="1" ht="14.25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</row>
    <row x14ac:dyDescent="0.25" r="864" customHeight="1" ht="14.25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</row>
    <row x14ac:dyDescent="0.25" r="865" customHeight="1" ht="14.2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</row>
    <row x14ac:dyDescent="0.25" r="866" customHeight="1" ht="14.25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</row>
    <row x14ac:dyDescent="0.25" r="867" customHeight="1" ht="14.25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</row>
    <row x14ac:dyDescent="0.25" r="868" customHeight="1" ht="14.25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</row>
    <row x14ac:dyDescent="0.25" r="869" customHeight="1" ht="14.25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</row>
    <row x14ac:dyDescent="0.25" r="870" customHeight="1" ht="14.25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</row>
    <row x14ac:dyDescent="0.25" r="871" customHeight="1" ht="14.2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</row>
    <row x14ac:dyDescent="0.25" r="872" customHeight="1" ht="14.25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</row>
    <row x14ac:dyDescent="0.25" r="873" customHeight="1" ht="14.25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</row>
    <row x14ac:dyDescent="0.25" r="874" customHeight="1" ht="14.25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</row>
    <row x14ac:dyDescent="0.25" r="875" customHeight="1" ht="14.2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</row>
    <row x14ac:dyDescent="0.25" r="876" customHeight="1" ht="14.25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</row>
    <row x14ac:dyDescent="0.25" r="877" customHeight="1" ht="14.25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</row>
    <row x14ac:dyDescent="0.25" r="878" customHeight="1" ht="14.25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</row>
    <row x14ac:dyDescent="0.25" r="879" customHeight="1" ht="14.25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</row>
    <row x14ac:dyDescent="0.25" r="880" customHeight="1" ht="14.25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</row>
    <row x14ac:dyDescent="0.25" r="881" customHeight="1" ht="14.25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</row>
    <row x14ac:dyDescent="0.25" r="882" customHeight="1" ht="14.25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</row>
    <row x14ac:dyDescent="0.25" r="883" customHeight="1" ht="14.25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</row>
    <row x14ac:dyDescent="0.25" r="884" customHeight="1" ht="14.25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</row>
    <row x14ac:dyDescent="0.25" r="885" customHeight="1" ht="14.2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</row>
    <row x14ac:dyDescent="0.25" r="886" customHeight="1" ht="14.25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</row>
    <row x14ac:dyDescent="0.25" r="887" customHeight="1" ht="14.25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</row>
    <row x14ac:dyDescent="0.25" r="888" customHeight="1" ht="14.25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</row>
    <row x14ac:dyDescent="0.25" r="889" customHeight="1" ht="14.2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</row>
    <row x14ac:dyDescent="0.25" r="890" customHeight="1" ht="14.25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</row>
    <row x14ac:dyDescent="0.25" r="891" customHeight="1" ht="14.25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</row>
    <row x14ac:dyDescent="0.25" r="892" customHeight="1" ht="14.25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</row>
    <row x14ac:dyDescent="0.25" r="893" customHeight="1" ht="14.25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</row>
    <row x14ac:dyDescent="0.25" r="894" customHeight="1" ht="14.25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</row>
    <row x14ac:dyDescent="0.25" r="895" customHeight="1" ht="14.2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</row>
    <row x14ac:dyDescent="0.25" r="896" customHeight="1" ht="14.25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</row>
    <row x14ac:dyDescent="0.25" r="897" customHeight="1" ht="14.25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</row>
    <row x14ac:dyDescent="0.25" r="898" customHeight="1" ht="14.25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</row>
    <row x14ac:dyDescent="0.25" r="899" customHeight="1" ht="14.25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</row>
    <row x14ac:dyDescent="0.25" r="900" customHeight="1" ht="14.25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</row>
    <row x14ac:dyDescent="0.25" r="901" customHeight="1" ht="14.25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</row>
    <row x14ac:dyDescent="0.25" r="902" customHeight="1" ht="14.25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</row>
    <row x14ac:dyDescent="0.25" r="903" customHeight="1" ht="14.25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</row>
    <row x14ac:dyDescent="0.25" r="904" customHeight="1" ht="14.25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</row>
    <row x14ac:dyDescent="0.25" r="905" customHeight="1" ht="14.2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</row>
    <row x14ac:dyDescent="0.25" r="906" customHeight="1" ht="14.25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</row>
    <row x14ac:dyDescent="0.25" r="907" customHeight="1" ht="14.2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</row>
    <row x14ac:dyDescent="0.25" r="908" customHeight="1" ht="14.25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</row>
    <row x14ac:dyDescent="0.25" r="909" customHeight="1" ht="14.25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</row>
    <row x14ac:dyDescent="0.25" r="910" customHeight="1" ht="14.25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</row>
    <row x14ac:dyDescent="0.25" r="911" customHeight="1" ht="14.25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</row>
    <row x14ac:dyDescent="0.25" r="912" customHeight="1" ht="14.25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</row>
    <row x14ac:dyDescent="0.25" r="913" customHeight="1" ht="14.25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</row>
    <row x14ac:dyDescent="0.25" r="914" customHeight="1" ht="14.25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</row>
    <row x14ac:dyDescent="0.25" r="915" customHeight="1" ht="14.2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</row>
    <row x14ac:dyDescent="0.25" r="916" customHeight="1" ht="14.25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</row>
    <row x14ac:dyDescent="0.25" r="917" customHeight="1" ht="14.25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</row>
    <row x14ac:dyDescent="0.25" r="918" customHeight="1" ht="14.25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</row>
    <row x14ac:dyDescent="0.25" r="919" customHeight="1" ht="14.25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</row>
    <row x14ac:dyDescent="0.25" r="920" customHeight="1" ht="14.25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</row>
    <row x14ac:dyDescent="0.25" r="921" customHeight="1" ht="14.25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</row>
    <row x14ac:dyDescent="0.25" r="922" customHeight="1" ht="14.25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</row>
    <row x14ac:dyDescent="0.25" r="923" customHeight="1" ht="14.25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</row>
    <row x14ac:dyDescent="0.25" r="924" customHeight="1" ht="14.25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</row>
    <row x14ac:dyDescent="0.25" r="925" customHeight="1" ht="14.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</row>
    <row x14ac:dyDescent="0.25" r="926" customHeight="1" ht="14.25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</row>
    <row x14ac:dyDescent="0.25" r="927" customHeight="1" ht="14.25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</row>
    <row x14ac:dyDescent="0.25" r="928" customHeight="1" ht="14.25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</row>
    <row x14ac:dyDescent="0.25" r="929" customHeight="1" ht="14.25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</row>
    <row x14ac:dyDescent="0.25" r="930" customHeight="1" ht="14.25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</row>
    <row x14ac:dyDescent="0.25" r="931" customHeight="1" ht="14.25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</row>
    <row x14ac:dyDescent="0.25" r="932" customHeight="1" ht="14.25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</row>
    <row x14ac:dyDescent="0.25" r="933" customHeight="1" ht="14.25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</row>
    <row x14ac:dyDescent="0.25" r="934" customHeight="1" ht="14.25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</row>
    <row x14ac:dyDescent="0.25" r="935" customHeight="1" ht="14.2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</row>
    <row x14ac:dyDescent="0.25" r="936" customHeight="1" ht="14.25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</row>
    <row x14ac:dyDescent="0.25" r="937" customHeight="1" ht="14.25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</row>
    <row x14ac:dyDescent="0.25" r="938" customHeight="1" ht="14.25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</row>
    <row x14ac:dyDescent="0.25" r="939" customHeight="1" ht="14.25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</row>
    <row x14ac:dyDescent="0.25" r="940" customHeight="1" ht="14.25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</row>
    <row x14ac:dyDescent="0.25" r="941" customHeight="1" ht="14.25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</row>
    <row x14ac:dyDescent="0.25" r="942" customHeight="1" ht="14.25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</row>
    <row x14ac:dyDescent="0.25" r="943" customHeight="1" ht="14.2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</row>
    <row x14ac:dyDescent="0.25" r="944" customHeight="1" ht="14.25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</row>
    <row x14ac:dyDescent="0.25" r="945" customHeight="1" ht="14.2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</row>
    <row x14ac:dyDescent="0.25" r="946" customHeight="1" ht="14.25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</row>
    <row x14ac:dyDescent="0.25" r="947" customHeight="1" ht="14.25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</row>
    <row x14ac:dyDescent="0.25" r="948" customHeight="1" ht="14.25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</row>
    <row x14ac:dyDescent="0.25" r="949" customHeight="1" ht="14.25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</row>
    <row x14ac:dyDescent="0.25" r="950" customHeight="1" ht="14.25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</row>
    <row x14ac:dyDescent="0.25" r="951" customHeight="1" ht="14.25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</row>
    <row x14ac:dyDescent="0.25" r="952" customHeight="1" ht="14.25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</row>
    <row x14ac:dyDescent="0.25" r="953" customHeight="1" ht="14.25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</row>
    <row x14ac:dyDescent="0.25" r="954" customHeight="1" ht="14.25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</row>
    <row x14ac:dyDescent="0.25" r="955" customHeight="1" ht="14.2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</row>
    <row x14ac:dyDescent="0.25" r="956" customHeight="1" ht="14.25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</row>
    <row x14ac:dyDescent="0.25" r="957" customHeight="1" ht="14.25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</row>
    <row x14ac:dyDescent="0.25" r="958" customHeight="1" ht="14.25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</row>
    <row x14ac:dyDescent="0.25" r="959" customHeight="1" ht="14.25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</row>
    <row x14ac:dyDescent="0.25" r="960" customHeight="1" ht="14.25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</row>
    <row x14ac:dyDescent="0.25" r="961" customHeight="1" ht="14.2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</row>
    <row x14ac:dyDescent="0.25" r="962" customHeight="1" ht="14.25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</row>
    <row x14ac:dyDescent="0.25" r="963" customHeight="1" ht="14.25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</row>
    <row x14ac:dyDescent="0.25" r="964" customHeight="1" ht="14.25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</row>
    <row x14ac:dyDescent="0.25" r="965" customHeight="1" ht="14.2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</row>
    <row x14ac:dyDescent="0.25" r="966" customHeight="1" ht="14.25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</row>
    <row x14ac:dyDescent="0.25" r="967" customHeight="1" ht="14.25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</row>
    <row x14ac:dyDescent="0.25" r="968" customHeight="1" ht="14.25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</row>
    <row x14ac:dyDescent="0.25" r="969" customHeight="1" ht="14.25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</row>
    <row x14ac:dyDescent="0.25" r="970" customHeight="1" ht="14.25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</row>
    <row x14ac:dyDescent="0.25" r="971" customHeight="1" ht="14.25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</row>
    <row x14ac:dyDescent="0.25" r="972" customHeight="1" ht="14.25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</row>
    <row x14ac:dyDescent="0.25" r="973" customHeight="1" ht="14.25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</row>
    <row x14ac:dyDescent="0.25" r="974" customHeight="1" ht="14.25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</row>
    <row x14ac:dyDescent="0.25" r="975" customHeight="1" ht="14.2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</row>
    <row x14ac:dyDescent="0.25" r="976" customHeight="1" ht="14.25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</row>
    <row x14ac:dyDescent="0.25" r="977" customHeight="1" ht="14.25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</row>
    <row x14ac:dyDescent="0.25" r="978" customHeight="1" ht="14.25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</row>
    <row x14ac:dyDescent="0.25" r="979" customHeight="1" ht="14.2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</row>
    <row x14ac:dyDescent="0.25" r="980" customHeight="1" ht="14.25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</row>
    <row x14ac:dyDescent="0.25" r="981" customHeight="1" ht="14.25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</row>
    <row x14ac:dyDescent="0.25" r="982" customHeight="1" ht="14.25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</row>
    <row x14ac:dyDescent="0.25" r="983" customHeight="1" ht="14.25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</row>
    <row x14ac:dyDescent="0.25" r="984" customHeight="1" ht="14.25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</row>
    <row x14ac:dyDescent="0.25" r="985" customHeight="1" ht="14.2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</row>
    <row x14ac:dyDescent="0.25" r="986" customHeight="1" ht="14.25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</row>
    <row x14ac:dyDescent="0.25" r="987" customHeight="1" ht="14.25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</row>
    <row x14ac:dyDescent="0.25" r="988" customHeight="1" ht="14.25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</row>
    <row x14ac:dyDescent="0.25" r="989" customHeight="1" ht="14.25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</row>
    <row x14ac:dyDescent="0.25" r="990" customHeight="1" ht="14.25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</row>
    <row x14ac:dyDescent="0.25" r="991" customHeight="1" ht="14.25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</row>
    <row x14ac:dyDescent="0.25" r="992" customHeight="1" ht="14.25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</row>
    <row x14ac:dyDescent="0.25" r="993" customHeight="1" ht="14.25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</row>
    <row x14ac:dyDescent="0.25" r="994" customHeight="1" ht="14.25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</row>
    <row x14ac:dyDescent="0.25" r="995" customHeight="1" ht="14.2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</row>
    <row x14ac:dyDescent="0.25" r="996" customHeight="1" ht="14.25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</row>
    <row x14ac:dyDescent="0.25" r="997" customHeight="1" ht="14.2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</row>
    <row x14ac:dyDescent="0.25" r="998" customHeight="1" ht="14.25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</row>
    <row x14ac:dyDescent="0.25" r="999" customHeight="1" ht="14.25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</row>
    <row x14ac:dyDescent="0.25" r="1000" customHeight="1" ht="14.25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</row>
  </sheetData>
  <mergeCells count="4">
    <mergeCell ref="A1:M1"/>
    <mergeCell ref="A2:M2"/>
    <mergeCell ref="A3:M3"/>
    <mergeCell ref="A82:M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000"/>
  <sheetViews>
    <sheetView workbookViewId="0" tabSelected="1"/>
  </sheetViews>
  <sheetFormatPr defaultRowHeight="15" x14ac:dyDescent="0.25"/>
  <cols>
    <col min="1" max="1" style="15" width="31.290714285714284" customWidth="1" bestFit="1"/>
    <col min="2" max="2" style="16" width="11.290714285714287" customWidth="1" bestFit="1"/>
    <col min="3" max="3" style="16" width="11.290714285714287" customWidth="1" bestFit="1"/>
    <col min="4" max="4" style="16" width="11.290714285714287" customWidth="1" bestFit="1"/>
    <col min="5" max="5" style="16" width="11.290714285714287" customWidth="1" bestFit="1"/>
    <col min="6" max="6" style="16" width="11.290714285714287" customWidth="1" bestFit="1"/>
    <col min="7" max="7" style="16" width="11.290714285714287" customWidth="1" bestFit="1"/>
    <col min="8" max="8" style="16" width="11.290714285714287" customWidth="1" bestFit="1"/>
    <col min="9" max="9" style="16" width="11.290714285714287" customWidth="1" bestFit="1"/>
    <col min="10" max="10" style="16" width="11.290714285714287" customWidth="1" bestFit="1"/>
    <col min="11" max="11" style="16" width="11.290714285714287" customWidth="1" bestFit="1"/>
    <col min="12" max="12" style="16" width="11.290714285714287" customWidth="1" bestFit="1"/>
    <col min="13" max="13" style="16" width="11.290714285714287" customWidth="1" bestFit="1"/>
    <col min="14" max="14" style="16" width="12.005" customWidth="1" bestFit="1"/>
    <col min="15" max="15" style="17" width="40.43357142857143" customWidth="1" bestFit="1"/>
  </cols>
  <sheetData>
    <row x14ac:dyDescent="0.25" r="1" customHeight="1" ht="22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x14ac:dyDescent="0.25" r="2" customHeight="1" ht="22.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x14ac:dyDescent="0.25" r="3" customHeight="1" ht="19.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x14ac:dyDescent="0.25" r="4" customHeight="1" ht="19.5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x14ac:dyDescent="0.25" r="5" customHeight="1" ht="19.5" customFormat="1" s="6">
      <c r="A5" s="7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9" t="s">
        <v>14</v>
      </c>
      <c r="N5" s="8" t="s">
        <v>15</v>
      </c>
      <c r="O5" s="10"/>
    </row>
    <row x14ac:dyDescent="0.25" r="6" customHeight="1" ht="19.5" customFormat="1" s="6">
      <c r="A6" s="11" t="s">
        <v>16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3"/>
    </row>
    <row x14ac:dyDescent="0.25" r="7" customHeight="1" ht="19.5" customFormat="1" s="6">
      <c r="A7" s="11" t="s">
        <v>17</v>
      </c>
      <c r="B7" s="12">
        <f>58088.97</f>
      </c>
      <c r="C7" s="12">
        <f>56274.02</f>
      </c>
      <c r="D7" s="12">
        <f>56929.64</f>
      </c>
      <c r="E7" s="12">
        <f>56567.89</f>
      </c>
      <c r="F7" s="12">
        <f>63219.97</f>
      </c>
      <c r="G7" s="12">
        <f>60629.94</f>
      </c>
      <c r="H7" s="12">
        <f>61028.23</f>
      </c>
      <c r="I7" s="12">
        <f>55907.33</f>
      </c>
      <c r="J7" s="12">
        <f>57772.33</f>
      </c>
      <c r="K7" s="12">
        <f>52859.41</f>
      </c>
      <c r="L7" s="12">
        <f>50873.19</f>
      </c>
      <c r="M7" s="12">
        <f>52608.83</f>
      </c>
      <c r="N7" s="12">
        <f>(((((((((((B7)+(C7))+(D7))+(E7))+(F7))+(G7))+(H7))+(I7))+(J7))+(K7))+(L7))+(M7)</f>
      </c>
      <c r="O7" s="3"/>
    </row>
    <row x14ac:dyDescent="0.25" r="8" customHeight="1" ht="19.5" customFormat="1" s="6">
      <c r="A8" s="11" t="s">
        <v>18</v>
      </c>
      <c r="B8" s="12">
        <f>12942.33</f>
      </c>
      <c r="C8" s="12">
        <f>12942.33</f>
      </c>
      <c r="D8" s="12">
        <f>12942.33</f>
      </c>
      <c r="E8" s="12">
        <f>13325.67</f>
      </c>
      <c r="F8" s="12">
        <f>13921.5</f>
      </c>
      <c r="G8" s="12">
        <f>13921.5</f>
      </c>
      <c r="H8" s="12">
        <f>13921.5</f>
      </c>
      <c r="I8" s="12">
        <f>13921.5</f>
      </c>
      <c r="J8" s="12">
        <f>14268.17</f>
      </c>
      <c r="K8" s="12">
        <f>14268.17</f>
      </c>
      <c r="L8" s="12">
        <f>14418.17</f>
      </c>
      <c r="M8" s="12">
        <f>14418.17</f>
      </c>
      <c r="N8" s="12">
        <f>(((((((((((B8)+(C8))+(D8))+(E8))+(F8))+(G8))+(H8))+(I8))+(J8))+(K8))+(L8))+(M8)</f>
      </c>
      <c r="O8" s="3"/>
    </row>
    <row x14ac:dyDescent="0.25" r="9" customHeight="1" ht="19.5" customFormat="1" s="6">
      <c r="A9" s="11" t="s">
        <v>19</v>
      </c>
      <c r="B9" s="13">
        <f>(B7)+(B8)</f>
      </c>
      <c r="C9" s="13">
        <f>(C7)+(C8)</f>
      </c>
      <c r="D9" s="13">
        <f>(D7)+(D8)</f>
      </c>
      <c r="E9" s="13">
        <f>(E7)+(E8)</f>
      </c>
      <c r="F9" s="13">
        <f>(F7)+(F8)</f>
      </c>
      <c r="G9" s="13">
        <f>(G7)+(G8)</f>
      </c>
      <c r="H9" s="13">
        <f>(H7)+(H8)</f>
      </c>
      <c r="I9" s="13">
        <f>(I7)+(I8)</f>
      </c>
      <c r="J9" s="13">
        <f>(J7)+(J8)</f>
      </c>
      <c r="K9" s="13">
        <f>(K7)+(K8)</f>
      </c>
      <c r="L9" s="13">
        <f>(L7)+(L8)</f>
      </c>
      <c r="M9" s="13">
        <f>(M7)+(M8)</f>
      </c>
      <c r="N9" s="13">
        <f>(((((((((((B9)+(C9))+(D9))+(E9))+(F9))+(G9))+(H9))+(I9))+(J9))+(K9))+(L9))+(M9)</f>
      </c>
      <c r="O9" s="3"/>
    </row>
    <row x14ac:dyDescent="0.25" r="10" customHeight="1" ht="19.5" customFormat="1" s="6">
      <c r="A10" s="11" t="s">
        <v>20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3"/>
    </row>
    <row x14ac:dyDescent="0.25" r="11" customHeight="1" ht="19.5" customFormat="1" s="6">
      <c r="A11" s="11" t="s">
        <v>21</v>
      </c>
      <c r="B11" s="12">
        <f>12897</f>
      </c>
      <c r="C11" s="12">
        <f>12897</f>
      </c>
      <c r="D11" s="12">
        <f>12853.5</f>
      </c>
      <c r="E11" s="12">
        <f>12855</f>
      </c>
      <c r="F11" s="12">
        <f>12896</f>
      </c>
      <c r="G11" s="12">
        <f>12875.5</f>
      </c>
      <c r="H11" s="12">
        <f>12875</f>
      </c>
      <c r="I11" s="12">
        <f>12877</f>
      </c>
      <c r="J11" s="12">
        <f>12877</f>
      </c>
      <c r="K11" s="12">
        <f>12877</f>
      </c>
      <c r="L11" s="12">
        <f>12877</f>
      </c>
      <c r="M11" s="12">
        <f>12770</f>
      </c>
      <c r="N11" s="12">
        <f>(((((((((((B11)+(C11))+(D11))+(E11))+(F11))+(G11))+(H11))+(I11))+(J11))+(K11))+(L11))+(M11)</f>
      </c>
      <c r="O11" s="3"/>
    </row>
    <row x14ac:dyDescent="0.25" r="12" customHeight="1" ht="19.5" customFormat="1" s="6">
      <c r="A12" s="11" t="s">
        <v>22</v>
      </c>
      <c r="B12" s="12"/>
      <c r="C12" s="12"/>
      <c r="D12" s="12"/>
      <c r="E12" s="12"/>
      <c r="F12" s="12"/>
      <c r="G12" s="12"/>
      <c r="H12" s="12"/>
      <c r="I12" s="12">
        <f>41.69</f>
      </c>
      <c r="J12" s="12">
        <f>84.17</f>
      </c>
      <c r="K12" s="12"/>
      <c r="L12" s="12"/>
      <c r="M12" s="12"/>
      <c r="N12" s="12">
        <f>(((((((((((B12)+(C12))+(D12))+(E12))+(F12))+(G12))+(H12))+(I12))+(J12))+(K12))+(L12))+(M12)</f>
      </c>
      <c r="O12" s="3"/>
    </row>
    <row x14ac:dyDescent="0.25" r="13" customHeight="1" ht="19.5" customFormat="1" s="6">
      <c r="A13" s="11" t="s">
        <v>23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>
        <f>(((((((((((B13)+(C13))+(D13))+(E13))+(F13))+(G13))+(H13))+(I13))+(J13))+(K13))+(L13))+(M13)</f>
      </c>
      <c r="O13" s="3"/>
    </row>
    <row x14ac:dyDescent="0.25" r="14" customHeight="1" ht="19.5" customFormat="1" s="6">
      <c r="A14" s="11" t="s">
        <v>24</v>
      </c>
      <c r="B14" s="12">
        <f>13291.49</f>
      </c>
      <c r="C14" s="12">
        <f>1428.78</f>
      </c>
      <c r="D14" s="12">
        <f>4487.21</f>
      </c>
      <c r="E14" s="12">
        <f>5752.18</f>
      </c>
      <c r="F14" s="12">
        <f>1154.28</f>
      </c>
      <c r="G14" s="12">
        <f>3362.67</f>
      </c>
      <c r="H14" s="12">
        <f>14795.24</f>
      </c>
      <c r="I14" s="12">
        <f>-737.82</f>
      </c>
      <c r="J14" s="12">
        <f>11939.2</f>
      </c>
      <c r="K14" s="12">
        <f>509.38</f>
      </c>
      <c r="L14" s="12">
        <f>1380.2</f>
      </c>
      <c r="M14" s="12">
        <f>399</f>
      </c>
      <c r="N14" s="12">
        <f>(((((((((((B14)+(C14))+(D14))+(E14))+(F14))+(G14))+(H14))+(I14))+(J14))+(K14))+(L14))+(M14)</f>
      </c>
      <c r="O14" s="3"/>
    </row>
    <row x14ac:dyDescent="0.25" r="15" customHeight="1" ht="19.5" customFormat="1" s="6">
      <c r="A15" s="11" t="s">
        <v>25</v>
      </c>
      <c r="B15" s="12">
        <f>930.49</f>
      </c>
      <c r="C15" s="12">
        <f>75</f>
      </c>
      <c r="D15" s="12">
        <f>571.89</f>
      </c>
      <c r="E15" s="12">
        <f>1226.6</f>
      </c>
      <c r="F15" s="12">
        <f>1125.07</f>
      </c>
      <c r="G15" s="12">
        <f>384.08</f>
      </c>
      <c r="H15" s="12">
        <f>860.53</f>
      </c>
      <c r="I15" s="12">
        <f>1872.99</f>
      </c>
      <c r="J15" s="12">
        <f>102.51</f>
      </c>
      <c r="K15" s="12">
        <f>945.83</f>
      </c>
      <c r="L15" s="12">
        <f>263.63</f>
      </c>
      <c r="M15" s="12">
        <f>1582.09</f>
      </c>
      <c r="N15" s="12">
        <f>(((((((((((B15)+(C15))+(D15))+(E15))+(F15))+(G15))+(H15))+(I15))+(J15))+(K15))+(L15))+(M15)</f>
      </c>
      <c r="O15" s="3"/>
    </row>
    <row x14ac:dyDescent="0.25" r="16" customHeight="1" ht="24.75" customFormat="1" s="6">
      <c r="A16" s="11" t="s">
        <v>26</v>
      </c>
      <c r="B16" s="13">
        <f>((B13)+(B14))+(B15)</f>
      </c>
      <c r="C16" s="13">
        <f>((C13)+(C14))+(C15)</f>
      </c>
      <c r="D16" s="13">
        <f>((D13)+(D14))+(D15)</f>
      </c>
      <c r="E16" s="13">
        <f>((E13)+(E14))+(E15)</f>
      </c>
      <c r="F16" s="13">
        <f>((F13)+(F14))+(F15)</f>
      </c>
      <c r="G16" s="13">
        <f>((G13)+(G14))+(G15)</f>
      </c>
      <c r="H16" s="13">
        <f>((H13)+(H14))+(H15)</f>
      </c>
      <c r="I16" s="13">
        <f>((I13)+(I14))+(I15)</f>
      </c>
      <c r="J16" s="13">
        <f>((J13)+(J14))+(J15)</f>
      </c>
      <c r="K16" s="13">
        <f>((K13)+(K14))+(K15)</f>
      </c>
      <c r="L16" s="13">
        <f>((L13)+(L14))+(L15)</f>
      </c>
      <c r="M16" s="13">
        <f>((M13)+(M14))+(M15)</f>
      </c>
      <c r="N16" s="13">
        <f>(((((((((((B16)+(C16))+(D16))+(E16))+(F16))+(G16))+(H16))+(I16))+(J16))+(K16))+(L16))+(M16)</f>
      </c>
      <c r="O16" s="3"/>
    </row>
    <row x14ac:dyDescent="0.25" r="17" customHeight="1" ht="19.5" customFormat="1" s="6">
      <c r="A17" s="11" t="s">
        <v>27</v>
      </c>
      <c r="B17" s="12">
        <f>7943.52</f>
      </c>
      <c r="C17" s="12">
        <f>8359.73</f>
      </c>
      <c r="D17" s="12">
        <f>8946.13</f>
      </c>
      <c r="E17" s="12">
        <f>11643.69</f>
      </c>
      <c r="F17" s="12">
        <f>12314.33</f>
      </c>
      <c r="G17" s="12">
        <f>11861.34</f>
      </c>
      <c r="H17" s="12">
        <f>9865.16</f>
      </c>
      <c r="I17" s="12">
        <f>10068.86</f>
      </c>
      <c r="J17" s="12">
        <f>8135.86</f>
      </c>
      <c r="K17" s="12">
        <f>11968.01</f>
      </c>
      <c r="L17" s="12">
        <f>7622.43</f>
      </c>
      <c r="M17" s="12">
        <f>9673.11</f>
      </c>
      <c r="N17" s="12">
        <f>(((((((((((B17)+(C17))+(D17))+(E17))+(F17))+(G17))+(H17))+(I17))+(J17))+(K17))+(L17))+(M17)</f>
      </c>
      <c r="O17" s="3"/>
    </row>
    <row x14ac:dyDescent="0.25" r="18" customHeight="1" ht="19.5" customFormat="1" s="6">
      <c r="A18" s="11" t="s">
        <v>28</v>
      </c>
      <c r="B18" s="13">
        <f>(((B11)+(B12))+(B16))+(B17)</f>
      </c>
      <c r="C18" s="13">
        <f>(((C11)+(C12))+(C16))+(C17)</f>
      </c>
      <c r="D18" s="13">
        <f>(((D11)+(D12))+(D16))+(D17)</f>
      </c>
      <c r="E18" s="13">
        <f>(((E11)+(E12))+(E16))+(E17)</f>
      </c>
      <c r="F18" s="13">
        <f>(((F11)+(F12))+(F16))+(F17)</f>
      </c>
      <c r="G18" s="13">
        <f>(((G11)+(G12))+(G16))+(G17)</f>
      </c>
      <c r="H18" s="13">
        <f>(((H11)+(H12))+(H16))+(H17)</f>
      </c>
      <c r="I18" s="13">
        <f>(((I11)+(I12))+(I16))+(I17)</f>
      </c>
      <c r="J18" s="13">
        <f>(((J11)+(J12))+(J16))+(J17)</f>
      </c>
      <c r="K18" s="13">
        <f>(((K11)+(K12))+(K16))+(K17)</f>
      </c>
      <c r="L18" s="13">
        <f>(((L11)+(L12))+(L16))+(L17)</f>
      </c>
      <c r="M18" s="13">
        <f>(((M11)+(M12))+(M16))+(M17)</f>
      </c>
      <c r="N18" s="13">
        <f>(((((((((((B18)+(C18))+(D18))+(E18))+(F18))+(G18))+(H18))+(I18))+(J18))+(K18))+(L18))+(M18)</f>
      </c>
      <c r="O18" s="3"/>
    </row>
    <row x14ac:dyDescent="0.25" r="19" customHeight="1" ht="19.5" customFormat="1" s="6">
      <c r="A19" s="11" t="s">
        <v>29</v>
      </c>
      <c r="B19" s="13">
        <f>(B9)-(B18)</f>
      </c>
      <c r="C19" s="13">
        <f>(C9)-(C18)</f>
      </c>
      <c r="D19" s="13">
        <f>(D9)-(D18)</f>
      </c>
      <c r="E19" s="13">
        <f>(E9)-(E18)</f>
      </c>
      <c r="F19" s="13">
        <f>(F9)-(F18)</f>
      </c>
      <c r="G19" s="13">
        <f>(G9)-(G18)</f>
      </c>
      <c r="H19" s="13">
        <f>(H9)-(H18)</f>
      </c>
      <c r="I19" s="13">
        <f>(I9)-(I18)</f>
      </c>
      <c r="J19" s="13">
        <f>(J9)-(J18)</f>
      </c>
      <c r="K19" s="13">
        <f>(K9)-(K18)</f>
      </c>
      <c r="L19" s="13">
        <f>(L9)-(L18)</f>
      </c>
      <c r="M19" s="13">
        <f>(M9)-(M18)</f>
      </c>
      <c r="N19" s="13">
        <f>(((((((((((B19)+(C19))+(D19))+(E19))+(F19))+(G19))+(H19))+(I19))+(J19))+(K19))+(L19))+(M19)</f>
      </c>
      <c r="O19" s="3"/>
    </row>
    <row x14ac:dyDescent="0.25" r="20" customHeight="1" ht="19.5" customFormat="1" s="6">
      <c r="A20" s="11" t="s">
        <v>30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"/>
    </row>
    <row x14ac:dyDescent="0.25" r="21" customHeight="1" ht="19.5" customFormat="1" s="6">
      <c r="A21" s="11" t="s">
        <v>31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>
        <f>(((((((((((B21)+(C21))+(D21))+(E21))+(F21))+(G21))+(H21))+(I21))+(J21))+(K21))+(L21))+(M21)</f>
      </c>
      <c r="O21" s="3"/>
    </row>
    <row x14ac:dyDescent="0.25" r="22" customHeight="1" ht="19.5" customFormat="1" s="6">
      <c r="A22" s="11" t="s">
        <v>32</v>
      </c>
      <c r="B22" s="12">
        <f>5000</f>
      </c>
      <c r="C22" s="12">
        <f>5000</f>
      </c>
      <c r="D22" s="12">
        <f>5000</f>
      </c>
      <c r="E22" s="12">
        <f>5000</f>
      </c>
      <c r="F22" s="12">
        <f>5000</f>
      </c>
      <c r="G22" s="12">
        <f>5000</f>
      </c>
      <c r="H22" s="12">
        <f>5000</f>
      </c>
      <c r="I22" s="12">
        <f>5000</f>
      </c>
      <c r="J22" s="12">
        <f>5000</f>
      </c>
      <c r="K22" s="12">
        <f>5000</f>
      </c>
      <c r="L22" s="12">
        <f>5000</f>
      </c>
      <c r="M22" s="12">
        <f>5000</f>
      </c>
      <c r="N22" s="12">
        <f>(((((((((((B22)+(C22))+(D22))+(E22))+(F22))+(G22))+(H22))+(I22))+(J22))+(K22))+(L22))+(M22)</f>
      </c>
      <c r="O22" s="3"/>
    </row>
    <row x14ac:dyDescent="0.25" r="23" customHeight="1" ht="19.5" customFormat="1" s="6">
      <c r="A23" s="11" t="s">
        <v>33</v>
      </c>
      <c r="B23" s="12"/>
      <c r="C23" s="12"/>
      <c r="D23" s="12"/>
      <c r="E23" s="12"/>
      <c r="F23" s="12">
        <f>3157.76</f>
      </c>
      <c r="G23" s="12">
        <f>287.5</f>
      </c>
      <c r="H23" s="12"/>
      <c r="I23" s="12"/>
      <c r="J23" s="12"/>
      <c r="K23" s="12"/>
      <c r="L23" s="12"/>
      <c r="M23" s="12"/>
      <c r="N23" s="12">
        <f>(((((((((((B23)+(C23))+(D23))+(E23))+(F23))+(G23))+(H23))+(I23))+(J23))+(K23))+(L23))+(M23)</f>
      </c>
      <c r="O23" s="3"/>
    </row>
    <row x14ac:dyDescent="0.25" r="24" customHeight="1" ht="19.5" customFormat="1" s="6">
      <c r="A24" s="11" t="s">
        <v>34</v>
      </c>
      <c r="B24" s="12">
        <f>609</f>
      </c>
      <c r="C24" s="12"/>
      <c r="D24" s="12">
        <f>174.75</f>
      </c>
      <c r="E24" s="12">
        <f>2375</f>
      </c>
      <c r="F24" s="12">
        <f>600</f>
      </c>
      <c r="G24" s="12"/>
      <c r="H24" s="12"/>
      <c r="I24" s="12"/>
      <c r="J24" s="12"/>
      <c r="K24" s="12"/>
      <c r="L24" s="12"/>
      <c r="M24" s="12"/>
      <c r="N24" s="12">
        <f>(((((((((((B24)+(C24))+(D24))+(E24))+(F24))+(G24))+(H24))+(I24))+(J24))+(K24))+(L24))+(M24)</f>
      </c>
      <c r="O24" s="3"/>
    </row>
    <row x14ac:dyDescent="0.25" r="25" customHeight="1" ht="19.5" customFormat="1" s="6">
      <c r="A25" s="11" t="s">
        <v>35</v>
      </c>
      <c r="B25" s="12">
        <f>768.5</f>
      </c>
      <c r="C25" s="12">
        <f>562.5</f>
      </c>
      <c r="D25" s="12">
        <f>526.5</f>
      </c>
      <c r="E25" s="12">
        <f>382.5</f>
      </c>
      <c r="F25" s="12">
        <f>624.06</f>
      </c>
      <c r="G25" s="12">
        <f>404.5</f>
      </c>
      <c r="H25" s="12">
        <f>301.25</f>
      </c>
      <c r="I25" s="12">
        <f>492</f>
      </c>
      <c r="J25" s="12">
        <f>492</f>
      </c>
      <c r="K25" s="12">
        <f>460</f>
      </c>
      <c r="L25" s="12">
        <f>400</f>
      </c>
      <c r="M25" s="12">
        <f>400</f>
      </c>
      <c r="N25" s="12">
        <f>(((((((((((B25)+(C25))+(D25))+(E25))+(F25))+(G25))+(H25))+(I25))+(J25))+(K25))+(L25))+(M25)</f>
      </c>
      <c r="O25" s="3"/>
    </row>
    <row x14ac:dyDescent="0.25" r="26" customHeight="1" ht="19.5" customFormat="1" s="6">
      <c r="A26" s="11" t="s">
        <v>36</v>
      </c>
      <c r="B26" s="12">
        <f>409.12</f>
      </c>
      <c r="C26" s="12">
        <f>1291.48</f>
      </c>
      <c r="D26" s="12">
        <f>648.38</f>
      </c>
      <c r="E26" s="12">
        <f>728.38</f>
      </c>
      <c r="F26" s="12">
        <f>259.72</f>
      </c>
      <c r="G26" s="12">
        <f>937.32</f>
      </c>
      <c r="H26" s="12">
        <f>999.06</f>
      </c>
      <c r="I26" s="12">
        <f>468.66</f>
      </c>
      <c r="J26" s="12">
        <f>1295.16</f>
      </c>
      <c r="K26" s="12">
        <f>1029.59</f>
      </c>
      <c r="L26" s="12">
        <f>1024.48</f>
      </c>
      <c r="M26" s="12">
        <f>-850.16</f>
      </c>
      <c r="N26" s="12">
        <f>(((((((((((B26)+(C26))+(D26))+(E26))+(F26))+(G26))+(H26))+(I26))+(J26))+(K26))+(L26))+(M26)</f>
      </c>
      <c r="O26" s="3"/>
    </row>
    <row x14ac:dyDescent="0.25" r="27" customHeight="1" ht="19.5" customFormat="1" s="6">
      <c r="A27" s="11" t="s">
        <v>37</v>
      </c>
      <c r="B27" s="12">
        <f>501.75</f>
      </c>
      <c r="C27" s="12">
        <f>1003.5</f>
      </c>
      <c r="D27" s="12">
        <f>501.75</f>
      </c>
      <c r="E27" s="12">
        <f>501.75</f>
      </c>
      <c r="F27" s="12">
        <f>732.06</f>
      </c>
      <c r="G27" s="12">
        <f>456.25</f>
      </c>
      <c r="H27" s="12">
        <f>456.25</f>
      </c>
      <c r="I27" s="12">
        <f>462.77</f>
      </c>
      <c r="J27" s="12">
        <f>-167.82</f>
      </c>
      <c r="K27" s="12">
        <f>288.43</f>
      </c>
      <c r="L27" s="12">
        <f>599.6</f>
      </c>
      <c r="M27" s="12">
        <f>356.01</f>
      </c>
      <c r="N27" s="12">
        <f>(((((((((((B27)+(C27))+(D27))+(E27))+(F27))+(G27))+(H27))+(I27))+(J27))+(K27))+(L27))+(M27)</f>
      </c>
      <c r="O27" s="3"/>
    </row>
    <row x14ac:dyDescent="0.25" r="28" customHeight="1" ht="19.5" customFormat="1" s="6">
      <c r="A28" s="11" t="s">
        <v>38</v>
      </c>
      <c r="B28" s="13">
        <f>((((((B21)+(B22))+(B23))+(B24))+(B25))+(B26))+(B27)</f>
      </c>
      <c r="C28" s="13">
        <f>((((((C21)+(C22))+(C23))+(C24))+(C25))+(C26))+(C27)</f>
      </c>
      <c r="D28" s="13">
        <f>((((((D21)+(D22))+(D23))+(D24))+(D25))+(D26))+(D27)</f>
      </c>
      <c r="E28" s="13">
        <f>((((((E21)+(E22))+(E23))+(E24))+(E25))+(E26))+(E27)</f>
      </c>
      <c r="F28" s="13">
        <f>((((((F21)+(F22))+(F23))+(F24))+(F25))+(F26))+(F27)</f>
      </c>
      <c r="G28" s="13">
        <f>((((((G21)+(G22))+(G23))+(G24))+(G25))+(G26))+(G27)</f>
      </c>
      <c r="H28" s="13">
        <f>((((((H21)+(H22))+(H23))+(H24))+(H25))+(H26))+(H27)</f>
      </c>
      <c r="I28" s="13">
        <f>((((((I21)+(I22))+(I23))+(I24))+(I25))+(I26))+(I27)</f>
      </c>
      <c r="J28" s="13">
        <f>((((((J21)+(J22))+(J23))+(J24))+(J25))+(J26))+(J27)</f>
      </c>
      <c r="K28" s="13">
        <f>((((((K21)+(K22))+(K23))+(K24))+(K25))+(K26))+(K27)</f>
      </c>
      <c r="L28" s="13">
        <f>((((((L21)+(L22))+(L23))+(L24))+(L25))+(L26))+(L27)</f>
      </c>
      <c r="M28" s="13">
        <f>((((((M21)+(M22))+(M23))+(M24))+(M25))+(M26))+(M27)</f>
      </c>
      <c r="N28" s="13">
        <f>(((((((((((B28)+(C28))+(D28))+(E28))+(F28))+(G28))+(H28))+(I28))+(J28))+(K28))+(L28))+(M28)</f>
      </c>
      <c r="O28" s="3"/>
    </row>
    <row x14ac:dyDescent="0.25" r="29" customHeight="1" ht="19.5" customFormat="1" s="6">
      <c r="A29" s="11" t="s">
        <v>39</v>
      </c>
      <c r="B29" s="12">
        <f>704.24</f>
      </c>
      <c r="C29" s="12">
        <f>1736.14</f>
      </c>
      <c r="D29" s="12">
        <f>640.16</f>
      </c>
      <c r="E29" s="12">
        <f>1043.05</f>
      </c>
      <c r="F29" s="12">
        <f>6574.07</f>
      </c>
      <c r="G29" s="12">
        <f>696.96</f>
      </c>
      <c r="H29" s="12">
        <f>673.74</f>
      </c>
      <c r="I29" s="12">
        <f>738.41</f>
      </c>
      <c r="J29" s="12">
        <f>664.85</f>
      </c>
      <c r="K29" s="12">
        <f>1379.07</f>
      </c>
      <c r="L29" s="12">
        <f>671.99</f>
      </c>
      <c r="M29" s="12">
        <f>1509.94</f>
      </c>
      <c r="N29" s="12">
        <f>(((((((((((B29)+(C29))+(D29))+(E29))+(F29))+(G29))+(H29))+(I29))+(J29))+(K29))+(L29))+(M29)</f>
      </c>
      <c r="O29" s="3"/>
    </row>
    <row x14ac:dyDescent="0.25" r="30" customHeight="1" ht="19.5" customFormat="1" s="6">
      <c r="A30" s="11" t="s">
        <v>40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f>(((((((((((B30)+(C30))+(D30))+(E30))+(F30))+(G30))+(H30))+(I30))+(J30))+(K30))+(L30))+(M30)</f>
      </c>
      <c r="O30" s="3"/>
    </row>
    <row x14ac:dyDescent="0.25" r="31" customHeight="1" ht="19.5" customFormat="1" s="6">
      <c r="A31" s="11" t="s">
        <v>41</v>
      </c>
      <c r="B31" s="12">
        <f>79.85</f>
      </c>
      <c r="C31" s="12"/>
      <c r="D31" s="12"/>
      <c r="E31" s="12"/>
      <c r="F31" s="12">
        <f>84.05</f>
      </c>
      <c r="G31" s="12"/>
      <c r="H31" s="12">
        <f>44.43</f>
      </c>
      <c r="I31" s="12"/>
      <c r="J31" s="12"/>
      <c r="K31" s="12"/>
      <c r="L31" s="12">
        <f>92.85</f>
      </c>
      <c r="M31" s="12"/>
      <c r="N31" s="12">
        <f>(((((((((((B31)+(C31))+(D31))+(E31))+(F31))+(G31))+(H31))+(I31))+(J31))+(K31))+(L31))+(M31)</f>
      </c>
      <c r="O31" s="3"/>
    </row>
    <row x14ac:dyDescent="0.25" r="32" customHeight="1" ht="19.5" customFormat="1" s="6">
      <c r="A32" s="11" t="s">
        <v>42</v>
      </c>
      <c r="B32" s="12"/>
      <c r="C32" s="12"/>
      <c r="D32" s="12"/>
      <c r="E32" s="12"/>
      <c r="F32" s="12">
        <f>2800</f>
      </c>
      <c r="G32" s="12"/>
      <c r="H32" s="12"/>
      <c r="I32" s="12"/>
      <c r="J32" s="12"/>
      <c r="K32" s="12">
        <f>80</f>
      </c>
      <c r="L32" s="12"/>
      <c r="M32" s="12"/>
      <c r="N32" s="12">
        <f>(((((((((((B32)+(C32))+(D32))+(E32))+(F32))+(G32))+(H32))+(I32))+(J32))+(K32))+(L32))+(M32)</f>
      </c>
      <c r="O32" s="3"/>
    </row>
    <row x14ac:dyDescent="0.25" r="33" customHeight="1" ht="19.5" customFormat="1" s="6">
      <c r="A33" s="11" t="s">
        <v>43</v>
      </c>
      <c r="B33" s="12">
        <f>300</f>
      </c>
      <c r="C33" s="12">
        <f>300</f>
      </c>
      <c r="D33" s="12">
        <f>300</f>
      </c>
      <c r="E33" s="12">
        <f>300</f>
      </c>
      <c r="F33" s="12">
        <f>313.9</f>
      </c>
      <c r="G33" s="12">
        <f>300</f>
      </c>
      <c r="H33" s="12">
        <f>300</f>
      </c>
      <c r="I33" s="12">
        <f>318</f>
      </c>
      <c r="J33" s="12">
        <f>300</f>
      </c>
      <c r="K33" s="12">
        <f>300</f>
      </c>
      <c r="L33" s="12">
        <f>300</f>
      </c>
      <c r="M33" s="12">
        <f>300</f>
      </c>
      <c r="N33" s="12">
        <f>(((((((((((B33)+(C33))+(D33))+(E33))+(F33))+(G33))+(H33))+(I33))+(J33))+(K33))+(L33))+(M33)</f>
      </c>
      <c r="O33" s="3"/>
    </row>
    <row x14ac:dyDescent="0.25" r="34" customHeight="1" ht="14.25" customFormat="1" s="6">
      <c r="A34" s="11" t="s">
        <v>44</v>
      </c>
      <c r="B34" s="13">
        <f>(((B30)+(B31))+(B32))+(B33)</f>
      </c>
      <c r="C34" s="13">
        <f>(((C30)+(C31))+(C32))+(C33)</f>
      </c>
      <c r="D34" s="13">
        <f>(((D30)+(D31))+(D32))+(D33)</f>
      </c>
      <c r="E34" s="13">
        <f>(((E30)+(E31))+(E32))+(E33)</f>
      </c>
      <c r="F34" s="13">
        <f>(((F30)+(F31))+(F32))+(F33)</f>
      </c>
      <c r="G34" s="13">
        <f>(((G30)+(G31))+(G32))+(G33)</f>
      </c>
      <c r="H34" s="13">
        <f>(((H30)+(H31))+(H32))+(H33)</f>
      </c>
      <c r="I34" s="13">
        <f>(((I30)+(I31))+(I32))+(I33)</f>
      </c>
      <c r="J34" s="13">
        <f>(((J30)+(J31))+(J32))+(J33)</f>
      </c>
      <c r="K34" s="13">
        <f>(((K30)+(K31))+(K32))+(K33)</f>
      </c>
      <c r="L34" s="13">
        <f>(((L30)+(L31))+(L32))+(L33)</f>
      </c>
      <c r="M34" s="13">
        <f>(((M30)+(M31))+(M32))+(M33)</f>
      </c>
      <c r="N34" s="13">
        <f>(((((((((((B34)+(C34))+(D34))+(E34))+(F34))+(G34))+(H34))+(I34))+(J34))+(K34))+(L34))+(M34)</f>
      </c>
      <c r="O34" s="3"/>
    </row>
    <row x14ac:dyDescent="0.25" r="35" customHeight="1" ht="14.25" customFormat="1" s="6">
      <c r="A35" s="11" t="s">
        <v>45</v>
      </c>
      <c r="B35" s="12">
        <f>60</f>
      </c>
      <c r="C35" s="12">
        <f>70</f>
      </c>
      <c r="D35" s="12">
        <f>95</f>
      </c>
      <c r="E35" s="12">
        <f>180</f>
      </c>
      <c r="F35" s="12">
        <f>150</f>
      </c>
      <c r="G35" s="12">
        <f>90</f>
      </c>
      <c r="H35" s="12">
        <f>30</f>
      </c>
      <c r="I35" s="12"/>
      <c r="J35" s="12"/>
      <c r="K35" s="12"/>
      <c r="L35" s="12"/>
      <c r="M35" s="12"/>
      <c r="N35" s="12">
        <f>(((((((((((B35)+(C35))+(D35))+(E35))+(F35))+(G35))+(H35))+(I35))+(J35))+(K35))+(L35))+(M35)</f>
      </c>
      <c r="O35" s="3"/>
    </row>
    <row x14ac:dyDescent="0.25" r="36" customHeight="1" ht="14.25" customFormat="1" s="6">
      <c r="A36" s="11" t="s">
        <v>46</v>
      </c>
      <c r="B36" s="12"/>
      <c r="C36" s="12"/>
      <c r="D36" s="12">
        <f>543.61</f>
      </c>
      <c r="E36" s="12">
        <f>800</f>
      </c>
      <c r="F36" s="12"/>
      <c r="G36" s="12"/>
      <c r="H36" s="12">
        <f>182.71</f>
      </c>
      <c r="I36" s="12"/>
      <c r="J36" s="12">
        <f>1391</f>
      </c>
      <c r="K36" s="12"/>
      <c r="L36" s="12"/>
      <c r="M36" s="12"/>
      <c r="N36" s="12">
        <f>(((((((((((B36)+(C36))+(D36))+(E36))+(F36))+(G36))+(H36))+(I36))+(J36))+(K36))+(L36))+(M36)</f>
      </c>
      <c r="O36" s="3"/>
    </row>
    <row x14ac:dyDescent="0.25" r="37" customHeight="1" ht="14.25" customFormat="1" s="6">
      <c r="A37" s="11" t="s">
        <v>47</v>
      </c>
      <c r="B37" s="12">
        <f>79.96</f>
      </c>
      <c r="C37" s="12">
        <f>84.66</f>
      </c>
      <c r="D37" s="12">
        <f>80.58</f>
      </c>
      <c r="E37" s="12">
        <f>82.31</f>
      </c>
      <c r="F37" s="12">
        <f>314.06</f>
      </c>
      <c r="G37" s="12">
        <f>82.54</f>
      </c>
      <c r="H37" s="12">
        <f>87.25</f>
      </c>
      <c r="I37" s="12">
        <f>132.67</f>
      </c>
      <c r="J37" s="12">
        <f>129</f>
      </c>
      <c r="K37" s="12">
        <f>131.93</f>
      </c>
      <c r="L37" s="12">
        <f>128.95</f>
      </c>
      <c r="M37" s="12">
        <v>55</v>
      </c>
      <c r="N37" s="12">
        <f>(((((((((((B37)+(C37))+(D37))+(E37))+(F37))+(G37))+(H37))+(I37))+(J37))+(K37))+(L37))+(M37)</f>
      </c>
      <c r="O37" s="3"/>
    </row>
    <row x14ac:dyDescent="0.25" r="38" customHeight="1" ht="14.25" customFormat="1" s="6">
      <c r="A38" s="11" t="s">
        <v>48</v>
      </c>
      <c r="B38" s="12">
        <f>3317.43</f>
      </c>
      <c r="C38" s="12">
        <f>3317.43</f>
      </c>
      <c r="D38" s="12">
        <f>3317.43</f>
      </c>
      <c r="E38" s="12">
        <f>3317.43</f>
      </c>
      <c r="F38" s="12">
        <f>3317.43</f>
      </c>
      <c r="G38" s="12">
        <f>3317.43</f>
      </c>
      <c r="H38" s="12">
        <f>3317.43</f>
      </c>
      <c r="I38" s="12">
        <f>3317.43</f>
      </c>
      <c r="J38" s="12">
        <f>3317.43</f>
      </c>
      <c r="K38" s="12">
        <f>2669.9</f>
      </c>
      <c r="L38" s="12">
        <f>2669.9</f>
      </c>
      <c r="M38" s="12">
        <f>2669.9</f>
      </c>
      <c r="N38" s="12">
        <f>(((((((((((B38)+(C38))+(D38))+(E38))+(F38))+(G38))+(H38))+(I38))+(J38))+(K38))+(L38))+(M38)</f>
      </c>
      <c r="O38" s="3"/>
    </row>
    <row x14ac:dyDescent="0.25" r="39" customHeight="1" ht="14.25" customFormat="1" s="6">
      <c r="A39" s="11" t="s">
        <v>49</v>
      </c>
      <c r="B39" s="12">
        <f>2287.69</f>
      </c>
      <c r="C39" s="12">
        <f>2357.69</f>
      </c>
      <c r="D39" s="12">
        <f>2287.69</f>
      </c>
      <c r="E39" s="12">
        <f>2287.69</f>
      </c>
      <c r="F39" s="12">
        <f>2287.69</f>
      </c>
      <c r="G39" s="12">
        <f>2706.44</f>
      </c>
      <c r="H39" s="12">
        <f>2706.44</f>
      </c>
      <c r="I39" s="12">
        <f>2846.02</f>
      </c>
      <c r="J39" s="12">
        <f>2681.24</f>
      </c>
      <c r="K39" s="12">
        <f>2402.07</f>
      </c>
      <c r="L39" s="12">
        <f>2402.07</f>
      </c>
      <c r="M39" s="12">
        <f>2402.07</f>
      </c>
      <c r="N39" s="12">
        <f>(((((((((((B39)+(C39))+(D39))+(E39))+(F39))+(G39))+(H39))+(I39))+(J39))+(K39))+(L39))+(M39)</f>
      </c>
      <c r="O39" s="3"/>
    </row>
    <row x14ac:dyDescent="0.25" r="40" customHeight="1" ht="14.25" customFormat="1" s="6">
      <c r="A40" s="11" t="s">
        <v>50</v>
      </c>
      <c r="B40" s="12">
        <f>18.27</f>
      </c>
      <c r="C40" s="12"/>
      <c r="D40" s="12">
        <f>51.6</f>
      </c>
      <c r="E40" s="12">
        <f>136.68</f>
      </c>
      <c r="F40" s="12">
        <f>835.01</f>
      </c>
      <c r="G40" s="12">
        <f>31.09</f>
      </c>
      <c r="H40" s="12">
        <f>111.29</f>
      </c>
      <c r="I40" s="12">
        <f>120.59</f>
      </c>
      <c r="J40" s="12"/>
      <c r="K40" s="12">
        <f>164.76</f>
      </c>
      <c r="L40" s="12"/>
      <c r="M40" s="12">
        <f>123.19</f>
      </c>
      <c r="N40" s="12">
        <f>(((((((((((B40)+(C40))+(D40))+(E40))+(F40))+(G40))+(H40))+(I40))+(J40))+(K40))+(L40))+(M40)</f>
      </c>
      <c r="O40" s="3"/>
    </row>
    <row x14ac:dyDescent="0.25" r="41" customHeight="1" ht="14.25" customFormat="1" s="6">
      <c r="A41" s="11" t="s">
        <v>51</v>
      </c>
      <c r="B41" s="12">
        <f>1259.79</f>
      </c>
      <c r="C41" s="12">
        <f>1324.19</f>
      </c>
      <c r="D41" s="12">
        <f>942.65</f>
      </c>
      <c r="E41" s="12">
        <f>1533.38</f>
      </c>
      <c r="F41" s="12">
        <f>322.85</f>
      </c>
      <c r="G41" s="12">
        <f>2742.64</f>
      </c>
      <c r="H41" s="12">
        <f>1318.84</f>
      </c>
      <c r="I41" s="12">
        <f>976.73</f>
      </c>
      <c r="J41" s="12">
        <f>1637.29</f>
      </c>
      <c r="K41" s="12">
        <f>1234.25</f>
      </c>
      <c r="L41" s="12">
        <f>1079.53</f>
      </c>
      <c r="M41" s="12">
        <f>1431.43</f>
      </c>
      <c r="N41" s="12">
        <f>(((((((((((B41)+(C41))+(D41))+(E41))+(F41))+(G41))+(H41))+(I41))+(J41))+(K41))+(L41))+(M41)</f>
      </c>
      <c r="O41" s="3"/>
    </row>
    <row x14ac:dyDescent="0.25" r="42" customHeight="1" ht="14.25" customFormat="1" s="6">
      <c r="A42" s="11" t="s">
        <v>52</v>
      </c>
      <c r="B42" s="12">
        <f>142.28</f>
      </c>
      <c r="C42" s="12">
        <f>190.03</f>
      </c>
      <c r="D42" s="12">
        <f>1825.97</f>
      </c>
      <c r="E42" s="12">
        <f>717.17</f>
      </c>
      <c r="F42" s="12">
        <f>141.45</f>
      </c>
      <c r="G42" s="12"/>
      <c r="H42" s="12">
        <f>30</f>
      </c>
      <c r="I42" s="12">
        <f>30</f>
      </c>
      <c r="J42" s="12">
        <f>30</f>
      </c>
      <c r="K42" s="12">
        <f>94.39</f>
      </c>
      <c r="L42" s="12">
        <f>9.19</f>
      </c>
      <c r="M42" s="12">
        <f>645.71</f>
      </c>
      <c r="N42" s="12">
        <f>(((((((((((B42)+(C42))+(D42))+(E42))+(F42))+(G42))+(H42))+(I42))+(J42))+(K42))+(L42))+(M42)</f>
      </c>
      <c r="O42" s="3"/>
    </row>
    <row x14ac:dyDescent="0.25" r="43" customHeight="1" ht="14.25" customFormat="1" s="6">
      <c r="A43" s="11" t="s">
        <v>53</v>
      </c>
      <c r="B43" s="12"/>
      <c r="C43" s="12">
        <f>725.87</f>
      </c>
      <c r="D43" s="12"/>
      <c r="E43" s="12"/>
      <c r="F43" s="12">
        <f>718.43</f>
      </c>
      <c r="G43" s="12">
        <f>2106.7</f>
      </c>
      <c r="H43" s="12"/>
      <c r="I43" s="12">
        <f>1040</f>
      </c>
      <c r="J43" s="12"/>
      <c r="K43" s="12"/>
      <c r="L43" s="12"/>
      <c r="M43" s="12"/>
      <c r="N43" s="12">
        <f>(((((((((((B43)+(C43))+(D43))+(E43))+(F43))+(G43))+(H43))+(I43))+(J43))+(K43))+(L43))+(M43)</f>
      </c>
      <c r="O43" s="3"/>
    </row>
    <row x14ac:dyDescent="0.25" r="44" customHeight="1" ht="14.25" customFormat="1" s="6">
      <c r="A44" s="11" t="s">
        <v>54</v>
      </c>
      <c r="B44" s="13">
        <f>(((((((((((B28)+(B29))+(B34))+(B35))+(B36))+(B37))+(B38))+(B39))+(B40))+(B41))+(B42))+(B43)</f>
      </c>
      <c r="C44" s="13">
        <f>(((((((((((C28)+(C29))+(C34))+(C35))+(C36))+(C37))+(C38))+(C39))+(C40))+(C41))+(C42))+(C43)</f>
      </c>
      <c r="D44" s="13">
        <f>(((((((((((D28)+(D29))+(D34))+(D35))+(D36))+(D37))+(D38))+(D39))+(D40))+(D41))+(D42))+(D43)</f>
      </c>
      <c r="E44" s="13">
        <f>(((((((((((E28)+(E29))+(E34))+(E35))+(E36))+(E37))+(E38))+(E39))+(E40))+(E41))+(E42))+(E43)</f>
      </c>
      <c r="F44" s="13">
        <f>(((((((((((F28)+(F29))+(F34))+(F35))+(F36))+(F37))+(F38))+(F39))+(F40))+(F41))+(F42))+(F43)</f>
      </c>
      <c r="G44" s="13">
        <f>(((((((((((G28)+(G29))+(G34))+(G35))+(G36))+(G37))+(G38))+(G39))+(G40))+(G41))+(G42))+(G43)</f>
      </c>
      <c r="H44" s="13">
        <f>(((((((((((H28)+(H29))+(H34))+(H35))+(H36))+(H37))+(H38))+(H39))+(H40))+(H41))+(H42))+(H43)</f>
      </c>
      <c r="I44" s="13">
        <f>(((((((((((I28)+(I29))+(I34))+(I35))+(I36))+(I37))+(I38))+(I39))+(I40))+(I41))+(I42))+(I43)</f>
      </c>
      <c r="J44" s="13">
        <f>(((((((((((J28)+(J29))+(J34))+(J35))+(J36))+(J37))+(J38))+(J39))+(J40))+(J41))+(J42))+(J43)</f>
      </c>
      <c r="K44" s="13">
        <f>(((((((((((K28)+(K29))+(K34))+(K35))+(K36))+(K37))+(K38))+(K39))+(K40))+(K41))+(K42))+(K43)</f>
      </c>
      <c r="L44" s="13">
        <f>(((((((((((L28)+(L29))+(L34))+(L35))+(L36))+(L37))+(L38))+(L39))+(L40))+(L41))+(L42))+(L43)</f>
      </c>
      <c r="M44" s="13">
        <f>(((((((((((M28)+(M29))+(M34))+(M35))+(M36))+(M37))+(M38))+(M39))+(M40))+(M41))+(M42))+(M43)</f>
      </c>
      <c r="N44" s="13">
        <f>(((((((((((B44)+(C44))+(D44))+(E44))+(F44))+(G44))+(H44))+(I44))+(J44))+(K44))+(L44))+(M44)</f>
      </c>
      <c r="O44" s="3"/>
    </row>
    <row x14ac:dyDescent="0.25" r="45" customHeight="1" ht="14.25" customFormat="1" s="6">
      <c r="A45" s="11" t="s">
        <v>55</v>
      </c>
      <c r="B45" s="13">
        <f>(B19)-(B44)</f>
      </c>
      <c r="C45" s="13">
        <f>(C19)-(C44)</f>
      </c>
      <c r="D45" s="13">
        <f>(D19)-(D44)</f>
      </c>
      <c r="E45" s="13">
        <f>(E19)-(E44)</f>
      </c>
      <c r="F45" s="13">
        <f>(F19)-(F44)</f>
      </c>
      <c r="G45" s="13">
        <f>(G19)-(G44)</f>
      </c>
      <c r="H45" s="13">
        <f>(H19)-(H44)</f>
      </c>
      <c r="I45" s="13">
        <f>(I19)-(I44)</f>
      </c>
      <c r="J45" s="13">
        <f>(J19)-(J44)</f>
      </c>
      <c r="K45" s="13">
        <f>(K19)-(K44)</f>
      </c>
      <c r="L45" s="13">
        <f>(L19)-(L44)</f>
      </c>
      <c r="M45" s="13">
        <f>(M19)-(M44)</f>
      </c>
      <c r="N45" s="13">
        <f>(((((((((((B45)+(C45))+(D45))+(E45))+(F45))+(G45))+(H45))+(I45))+(J45))+(K45))+(L45))+(M45)</f>
      </c>
      <c r="O45" s="3"/>
    </row>
    <row x14ac:dyDescent="0.25" r="46" customHeight="1" ht="14.25" customFormat="1" s="6">
      <c r="A46" s="11" t="s">
        <v>56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"/>
    </row>
    <row x14ac:dyDescent="0.25" r="47" customHeight="1" ht="14.25" customFormat="1" s="6">
      <c r="A47" s="11" t="s">
        <v>57</v>
      </c>
      <c r="B47" s="12"/>
      <c r="C47" s="12">
        <f>6395.33</f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>
        <f>(((((((((((B47)+(C47))+(D47))+(E47))+(F47))+(G47))+(H47))+(I47))+(J47))+(K47))+(L47))+(M47)</f>
      </c>
      <c r="O47" s="3"/>
    </row>
    <row x14ac:dyDescent="0.25" r="48" customHeight="1" ht="14.25" customFormat="1" s="6">
      <c r="A48" s="11" t="s">
        <v>58</v>
      </c>
      <c r="B48" s="13">
        <f>B47</f>
      </c>
      <c r="C48" s="13">
        <f>C47</f>
      </c>
      <c r="D48" s="13">
        <f>D47</f>
      </c>
      <c r="E48" s="13">
        <f>E47</f>
      </c>
      <c r="F48" s="13">
        <f>F47</f>
      </c>
      <c r="G48" s="13">
        <f>G47</f>
      </c>
      <c r="H48" s="13">
        <f>H47</f>
      </c>
      <c r="I48" s="13">
        <f>I47</f>
      </c>
      <c r="J48" s="13">
        <f>J47</f>
      </c>
      <c r="K48" s="13">
        <f>K47</f>
      </c>
      <c r="L48" s="13">
        <f>L47</f>
      </c>
      <c r="M48" s="13">
        <f>M47</f>
      </c>
      <c r="N48" s="13">
        <f>(((((((((((B48)+(C48))+(D48))+(E48))+(F48))+(G48))+(H48))+(I48))+(J48))+(K48))+(L48))+(M48)</f>
      </c>
      <c r="O48" s="3"/>
    </row>
    <row x14ac:dyDescent="0.25" r="49" customHeight="1" ht="14.25" customFormat="1" s="6">
      <c r="A49" s="11" t="s">
        <v>59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3"/>
    </row>
    <row x14ac:dyDescent="0.25" r="50" customHeight="1" ht="14.25" customFormat="1" s="6">
      <c r="A50" s="11" t="s">
        <v>60</v>
      </c>
      <c r="B50" s="12">
        <f>8400</f>
      </c>
      <c r="C50" s="12"/>
      <c r="D50" s="12">
        <f>1941.31</f>
      </c>
      <c r="E50" s="12">
        <f>8817.5</f>
      </c>
      <c r="F50" s="12"/>
      <c r="G50" s="12"/>
      <c r="H50" s="12"/>
      <c r="I50" s="12"/>
      <c r="J50" s="12"/>
      <c r="K50" s="12"/>
      <c r="L50" s="12"/>
      <c r="M50" s="12"/>
      <c r="N50" s="12">
        <f>(((((((((((B50)+(C50))+(D50))+(E50))+(F50))+(G50))+(H50))+(I50))+(J50))+(K50))+(L50))+(M50)</f>
      </c>
      <c r="O50" s="3"/>
    </row>
    <row x14ac:dyDescent="0.25" r="51" customHeight="1" ht="14.25" customFormat="1" s="6">
      <c r="A51" s="11" t="s">
        <v>61</v>
      </c>
      <c r="B51" s="12">
        <f>6474.86</f>
      </c>
      <c r="C51" s="12">
        <f>4384.6</f>
      </c>
      <c r="D51" s="12">
        <f>5162.92</f>
      </c>
      <c r="E51" s="12">
        <f>27224.92</f>
      </c>
      <c r="F51" s="12">
        <f>3958.38</f>
      </c>
      <c r="G51" s="12">
        <f>3858.62</f>
      </c>
      <c r="H51" s="12">
        <f>3758.15</f>
      </c>
      <c r="I51" s="12">
        <f>3668.44</f>
      </c>
      <c r="J51" s="12">
        <f>3566.65</f>
      </c>
      <c r="K51" s="12">
        <f>3432.3</f>
      </c>
      <c r="L51" s="12">
        <f>3360.94</f>
      </c>
      <c r="M51" s="12">
        <f>3378.5</f>
      </c>
      <c r="N51" s="12">
        <f>(((((((((((B51)+(C51))+(D51))+(E51))+(F51))+(G51))+(H51))+(I51))+(J51))+(K51))+(L51))+(M51)</f>
      </c>
      <c r="O51" s="3"/>
    </row>
    <row x14ac:dyDescent="0.25" r="52" customHeight="1" ht="14.25" customFormat="1" s="6">
      <c r="A52" s="11" t="s">
        <v>62</v>
      </c>
      <c r="B52" s="12">
        <f>13932.68</f>
      </c>
      <c r="C52" s="12">
        <f>13932.68</f>
      </c>
      <c r="D52" s="12">
        <f>13932.68</f>
      </c>
      <c r="E52" s="12">
        <f>13932.68</f>
      </c>
      <c r="F52" s="12">
        <f>13932.68</f>
      </c>
      <c r="G52" s="12">
        <f>13932.68</f>
      </c>
      <c r="H52" s="12">
        <f>13932.68</f>
      </c>
      <c r="I52" s="12">
        <f>13932.68</f>
      </c>
      <c r="J52" s="12">
        <f>13932.68</f>
      </c>
      <c r="K52" s="12">
        <f>13932.68</f>
      </c>
      <c r="L52" s="12">
        <f>13932.68</f>
      </c>
      <c r="M52" s="12">
        <f>13932.68</f>
      </c>
      <c r="N52" s="12">
        <f>(((((((((((B52)+(C52))+(D52))+(E52))+(F52))+(G52))+(H52))+(I52))+(J52))+(K52))+(L52))+(M52)</f>
      </c>
      <c r="O52" s="3"/>
    </row>
    <row x14ac:dyDescent="0.25" r="53" customHeight="1" ht="14.25" customFormat="1" s="6">
      <c r="A53" s="11" t="s">
        <v>63</v>
      </c>
      <c r="B53" s="13">
        <f>((B50)+(B51))+(B52)</f>
      </c>
      <c r="C53" s="13">
        <f>((C50)+(C51))+(C52)</f>
      </c>
      <c r="D53" s="13">
        <f>((D50)+(D51))+(D52)</f>
      </c>
      <c r="E53" s="13">
        <f>((E50)+(E51))+(E52)</f>
      </c>
      <c r="F53" s="13">
        <f>((F50)+(F51))+(F52)</f>
      </c>
      <c r="G53" s="13">
        <f>((G50)+(G51))+(G52)</f>
      </c>
      <c r="H53" s="13">
        <f>((H50)+(H51))+(H52)</f>
      </c>
      <c r="I53" s="13">
        <f>((I50)+(I51))+(I52)</f>
      </c>
      <c r="J53" s="13">
        <f>((J50)+(J51))+(J52)</f>
      </c>
      <c r="K53" s="13">
        <f>((K50)+(K51))+(K52)</f>
      </c>
      <c r="L53" s="13">
        <f>((L50)+(L51))+(L52)</f>
      </c>
      <c r="M53" s="13">
        <f>((M50)+(M51))+(M52)</f>
      </c>
      <c r="N53" s="13">
        <f>(((((((((((B53)+(C53))+(D53))+(E53))+(F53))+(G53))+(H53))+(I53))+(J53))+(K53))+(L53))+(M53)</f>
      </c>
      <c r="O53" s="3"/>
    </row>
    <row x14ac:dyDescent="0.25" r="54" customHeight="1" ht="14.25" customFormat="1" s="6">
      <c r="A54" s="11" t="s">
        <v>64</v>
      </c>
      <c r="B54" s="13">
        <f>(B48)-(B53)</f>
      </c>
      <c r="C54" s="13">
        <f>(C48)-(C53)</f>
      </c>
      <c r="D54" s="13">
        <f>(D48)-(D53)</f>
      </c>
      <c r="E54" s="13">
        <f>(E48)-(E53)</f>
      </c>
      <c r="F54" s="13">
        <f>(F48)-(F53)</f>
      </c>
      <c r="G54" s="13">
        <f>(G48)-(G53)</f>
      </c>
      <c r="H54" s="13">
        <f>(H48)-(H53)</f>
      </c>
      <c r="I54" s="13">
        <f>(I48)-(I53)</f>
      </c>
      <c r="J54" s="13">
        <f>(J48)-(J53)</f>
      </c>
      <c r="K54" s="13">
        <f>(K48)-(K53)</f>
      </c>
      <c r="L54" s="13">
        <f>(L48)-(L53)</f>
      </c>
      <c r="M54" s="13">
        <f>(M48)-(M53)</f>
      </c>
      <c r="N54" s="13">
        <f>(((((((((((B54)+(C54))+(D54))+(E54))+(F54))+(G54))+(H54))+(I54))+(J54))+(K54))+(L54))+(M54)</f>
      </c>
      <c r="O54" s="3"/>
    </row>
    <row x14ac:dyDescent="0.25" r="55" customHeight="1" ht="14.25" customFormat="1" s="6">
      <c r="A55" s="11" t="s">
        <v>65</v>
      </c>
      <c r="B55" s="13">
        <f>(B45)+(B54)</f>
      </c>
      <c r="C55" s="13">
        <f>(C45)+(C54)</f>
      </c>
      <c r="D55" s="13">
        <f>(D45)+(D54)</f>
      </c>
      <c r="E55" s="13">
        <f>(E45)+(E54)</f>
      </c>
      <c r="F55" s="13">
        <f>(F45)+(F54)</f>
      </c>
      <c r="G55" s="13">
        <f>(G45)+(G54)</f>
      </c>
      <c r="H55" s="13">
        <f>(H45)+(H54)</f>
      </c>
      <c r="I55" s="13">
        <f>(I45)+(I54)</f>
      </c>
      <c r="J55" s="13">
        <f>(J45)+(J54)</f>
      </c>
      <c r="K55" s="13">
        <f>(K45)+(K54)</f>
      </c>
      <c r="L55" s="13">
        <f>(L45)+(L54)</f>
      </c>
      <c r="M55" s="13">
        <f>(M45)+(M54)</f>
      </c>
      <c r="N55" s="13">
        <f>(((((((((((B55)+(C55))+(D55))+(E55))+(F55))+(G55))+(H55))+(I55))+(J55))+(K55))+(L55))+(M55)</f>
      </c>
      <c r="O55" s="3"/>
    </row>
    <row x14ac:dyDescent="0.25" r="56" customHeight="1" ht="14.25" customFormat="1" s="6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3"/>
    </row>
    <row x14ac:dyDescent="0.25" r="57" customHeight="1" ht="14.25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</row>
    <row x14ac:dyDescent="0.25" r="58" customHeight="1" ht="14.25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</row>
    <row x14ac:dyDescent="0.25" r="59" customHeight="1" ht="14.25">
      <c r="A59" s="14" t="s">
        <v>66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</row>
    <row x14ac:dyDescent="0.25" r="60" customHeight="1" ht="14.25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</row>
    <row x14ac:dyDescent="0.25" r="61" customHeight="1" ht="14.2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</row>
    <row x14ac:dyDescent="0.25" r="62" customHeight="1" ht="14.25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</row>
    <row x14ac:dyDescent="0.25" r="63" customHeight="1" ht="14.25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</row>
    <row x14ac:dyDescent="0.25" r="64" customHeight="1" ht="14.25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</row>
    <row x14ac:dyDescent="0.25" r="65" customHeight="1" ht="14.2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</row>
    <row x14ac:dyDescent="0.25" r="66" customHeight="1" ht="14.25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</row>
    <row x14ac:dyDescent="0.25" r="67" customHeight="1" ht="14.25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</row>
    <row x14ac:dyDescent="0.25" r="68" customHeight="1" ht="14.25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</row>
    <row x14ac:dyDescent="0.25" r="69" customHeight="1" ht="14.25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</row>
    <row x14ac:dyDescent="0.25" r="70" customHeight="1" ht="14.25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</row>
    <row x14ac:dyDescent="0.25" r="71" customHeight="1" ht="14.25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</row>
    <row x14ac:dyDescent="0.25" r="72" customHeight="1" ht="14.25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</row>
    <row x14ac:dyDescent="0.25" r="73" customHeight="1" ht="14.25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</row>
    <row x14ac:dyDescent="0.25" r="74" customHeight="1" ht="14.25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</row>
    <row x14ac:dyDescent="0.25" r="75" customHeight="1" ht="14.2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</row>
    <row x14ac:dyDescent="0.25" r="76" customHeight="1" ht="14.25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</row>
    <row x14ac:dyDescent="0.25" r="77" customHeight="1" ht="14.25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</row>
    <row x14ac:dyDescent="0.25" r="78" customHeight="1" ht="14.25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</row>
    <row x14ac:dyDescent="0.25" r="79" customHeight="1" ht="14.2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</row>
    <row x14ac:dyDescent="0.25" r="80" customHeight="1" ht="14.25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</row>
    <row x14ac:dyDescent="0.25" r="81" customHeight="1" ht="14.25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</row>
    <row x14ac:dyDescent="0.25" r="82" customHeight="1" ht="14.25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</row>
    <row x14ac:dyDescent="0.25" r="83" customHeight="1" ht="14.25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</row>
    <row x14ac:dyDescent="0.25" r="84" customHeight="1" ht="14.25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</row>
    <row x14ac:dyDescent="0.25" r="85" customHeight="1" ht="14.2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</row>
    <row x14ac:dyDescent="0.25" r="86" customHeight="1" ht="14.25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</row>
    <row x14ac:dyDescent="0.25" r="87" customHeight="1" ht="14.25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</row>
    <row x14ac:dyDescent="0.25" r="88" customHeight="1" ht="14.25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</row>
    <row x14ac:dyDescent="0.25" r="89" customHeight="1" ht="14.25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</row>
    <row x14ac:dyDescent="0.25" r="90" customHeight="1" ht="14.25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</row>
    <row x14ac:dyDescent="0.25" r="91" customHeight="1" ht="14.25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</row>
    <row x14ac:dyDescent="0.25" r="92" customHeight="1" ht="14.25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</row>
    <row x14ac:dyDescent="0.25" r="93" customHeight="1" ht="14.2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</row>
    <row x14ac:dyDescent="0.25" r="94" customHeight="1" ht="14.2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</row>
    <row x14ac:dyDescent="0.25" r="95" customHeight="1" ht="14.2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</row>
    <row x14ac:dyDescent="0.25" r="96" customHeight="1" ht="14.25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</row>
    <row x14ac:dyDescent="0.25" r="97" customHeight="1" ht="14.2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</row>
    <row x14ac:dyDescent="0.25" r="98" customHeight="1" ht="14.25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</row>
    <row x14ac:dyDescent="0.25" r="99" customHeight="1" ht="14.25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</row>
    <row x14ac:dyDescent="0.25" r="100" customHeight="1" ht="14.25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</row>
    <row x14ac:dyDescent="0.25" r="101" customHeight="1" ht="14.25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</row>
    <row x14ac:dyDescent="0.25" r="102" customHeight="1" ht="14.25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</row>
    <row x14ac:dyDescent="0.25" r="103" customHeight="1" ht="14.25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</row>
    <row x14ac:dyDescent="0.25" r="104" customHeight="1" ht="14.25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</row>
    <row x14ac:dyDescent="0.25" r="105" customHeight="1" ht="14.2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</row>
    <row x14ac:dyDescent="0.25" r="106" customHeight="1" ht="14.25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</row>
    <row x14ac:dyDescent="0.25" r="107" customHeight="1" ht="14.25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</row>
    <row x14ac:dyDescent="0.25" r="108" customHeight="1" ht="14.25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</row>
    <row x14ac:dyDescent="0.25" r="109" customHeight="1" ht="14.25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</row>
    <row x14ac:dyDescent="0.25" r="110" customHeight="1" ht="14.25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</row>
    <row x14ac:dyDescent="0.25" r="111" customHeight="1" ht="14.25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</row>
    <row x14ac:dyDescent="0.25" r="112" customHeight="1" ht="14.25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</row>
    <row x14ac:dyDescent="0.25" r="113" customHeight="1" ht="14.25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</row>
    <row x14ac:dyDescent="0.25" r="114" customHeight="1" ht="14.25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</row>
    <row x14ac:dyDescent="0.25" r="115" customHeight="1" ht="14.2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</row>
    <row x14ac:dyDescent="0.25" r="116" customHeight="1" ht="14.25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</row>
    <row x14ac:dyDescent="0.25" r="117" customHeight="1" ht="14.25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</row>
    <row x14ac:dyDescent="0.25" r="118" customHeight="1" ht="14.25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x14ac:dyDescent="0.25" r="119" customHeight="1" ht="14.2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</row>
    <row x14ac:dyDescent="0.25" r="120" customHeight="1" ht="14.25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</row>
    <row x14ac:dyDescent="0.25" r="121" customHeight="1" ht="14.25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</row>
    <row x14ac:dyDescent="0.25" r="122" customHeight="1" ht="14.25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</row>
    <row x14ac:dyDescent="0.25" r="123" customHeight="1" ht="14.25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</row>
    <row x14ac:dyDescent="0.25" r="124" customHeight="1" ht="14.25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</row>
    <row x14ac:dyDescent="0.25" r="125" customHeight="1" ht="14.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</row>
    <row x14ac:dyDescent="0.25" r="126" customHeight="1" ht="14.25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</row>
    <row x14ac:dyDescent="0.25" r="127" customHeight="1" ht="14.25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</row>
    <row x14ac:dyDescent="0.25" r="128" customHeight="1" ht="14.25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</row>
    <row x14ac:dyDescent="0.25" r="129" customHeight="1" ht="14.25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</row>
    <row x14ac:dyDescent="0.25" r="130" customHeight="1" ht="14.25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</row>
    <row x14ac:dyDescent="0.25" r="131" customHeight="1" ht="14.25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</row>
    <row x14ac:dyDescent="0.25" r="132" customHeight="1" ht="14.25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</row>
    <row x14ac:dyDescent="0.25" r="133" customHeight="1" ht="14.2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</row>
    <row x14ac:dyDescent="0.25" r="134" customHeight="1" ht="14.25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</row>
    <row x14ac:dyDescent="0.25" r="135" customHeight="1" ht="14.2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</row>
    <row x14ac:dyDescent="0.25" r="136" customHeight="1" ht="14.25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</row>
    <row x14ac:dyDescent="0.25" r="137" customHeight="1" ht="14.25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</row>
    <row x14ac:dyDescent="0.25" r="138" customHeight="1" ht="14.25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</row>
    <row x14ac:dyDescent="0.25" r="139" customHeight="1" ht="14.25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</row>
    <row x14ac:dyDescent="0.25" r="140" customHeight="1" ht="14.25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</row>
    <row x14ac:dyDescent="0.25" r="141" customHeight="1" ht="14.25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</row>
    <row x14ac:dyDescent="0.25" r="142" customHeight="1" ht="14.25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</row>
    <row x14ac:dyDescent="0.25" r="143" customHeight="1" ht="14.25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</row>
    <row x14ac:dyDescent="0.25" r="144" customHeight="1" ht="14.25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</row>
    <row x14ac:dyDescent="0.25" r="145" customHeight="1" ht="14.2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</row>
    <row x14ac:dyDescent="0.25" r="146" customHeight="1" ht="14.25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</row>
    <row x14ac:dyDescent="0.25" r="147" customHeight="1" ht="14.25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</row>
    <row x14ac:dyDescent="0.25" r="148" customHeight="1" ht="14.25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</row>
    <row x14ac:dyDescent="0.25" r="149" customHeight="1" ht="14.25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</row>
    <row x14ac:dyDescent="0.25" r="150" customHeight="1" ht="14.25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</row>
    <row x14ac:dyDescent="0.25" r="151" customHeight="1" ht="14.2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</row>
    <row x14ac:dyDescent="0.25" r="152" customHeight="1" ht="14.25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</row>
    <row x14ac:dyDescent="0.25" r="153" customHeight="1" ht="14.25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</row>
    <row x14ac:dyDescent="0.25" r="154" customHeight="1" ht="14.25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</row>
    <row x14ac:dyDescent="0.25" r="155" customHeight="1" ht="14.2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</row>
    <row x14ac:dyDescent="0.25" r="156" customHeight="1" ht="14.2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</row>
    <row x14ac:dyDescent="0.25" r="157" customHeight="1" ht="14.25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</row>
    <row x14ac:dyDescent="0.25" r="158" customHeight="1" ht="14.25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</row>
    <row x14ac:dyDescent="0.25" r="159" customHeight="1" ht="14.25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</row>
    <row x14ac:dyDescent="0.25" r="160" customHeight="1" ht="14.25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</row>
    <row x14ac:dyDescent="0.25" r="161" customHeight="1" ht="14.25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</row>
    <row x14ac:dyDescent="0.25" r="162" customHeight="1" ht="14.25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</row>
    <row x14ac:dyDescent="0.25" r="163" customHeight="1" ht="14.25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</row>
    <row x14ac:dyDescent="0.25" r="164" customHeight="1" ht="14.25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</row>
    <row x14ac:dyDescent="0.25" r="165" customHeight="1" ht="14.2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</row>
    <row x14ac:dyDescent="0.25" r="166" customHeight="1" ht="14.25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</row>
    <row x14ac:dyDescent="0.25" r="167" customHeight="1" ht="14.25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</row>
    <row x14ac:dyDescent="0.25" r="168" customHeight="1" ht="14.25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</row>
    <row x14ac:dyDescent="0.25" r="169" customHeight="1" ht="14.2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</row>
    <row x14ac:dyDescent="0.25" r="170" customHeight="1" ht="14.2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</row>
    <row x14ac:dyDescent="0.25" r="171" customHeight="1" ht="14.25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</row>
    <row x14ac:dyDescent="0.25" r="172" customHeight="1" ht="14.25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</row>
    <row x14ac:dyDescent="0.25" r="173" customHeight="1" ht="14.25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</row>
    <row x14ac:dyDescent="0.25" r="174" customHeight="1" ht="14.25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</row>
    <row x14ac:dyDescent="0.25" r="175" customHeight="1" ht="14.2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</row>
    <row x14ac:dyDescent="0.25" r="176" customHeight="1" ht="14.25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</row>
    <row x14ac:dyDescent="0.25" r="177" customHeight="1" ht="14.25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</row>
    <row x14ac:dyDescent="0.25" r="178" customHeight="1" ht="14.25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</row>
    <row x14ac:dyDescent="0.25" r="179" customHeight="1" ht="14.25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</row>
    <row x14ac:dyDescent="0.25" r="180" customHeight="1" ht="14.25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</row>
    <row x14ac:dyDescent="0.25" r="181" customHeight="1" ht="14.25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</row>
    <row x14ac:dyDescent="0.25" r="182" customHeight="1" ht="14.25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</row>
    <row x14ac:dyDescent="0.25" r="183" customHeight="1" ht="14.25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</row>
    <row x14ac:dyDescent="0.25" r="184" customHeight="1" ht="14.2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</row>
    <row x14ac:dyDescent="0.25" r="185" customHeight="1" ht="14.2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</row>
    <row x14ac:dyDescent="0.25" r="186" customHeight="1" ht="14.25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</row>
    <row x14ac:dyDescent="0.25" r="187" customHeight="1" ht="14.2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</row>
    <row x14ac:dyDescent="0.25" r="188" customHeight="1" ht="14.25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</row>
    <row x14ac:dyDescent="0.25" r="189" customHeight="1" ht="14.25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</row>
    <row x14ac:dyDescent="0.25" r="190" customHeight="1" ht="14.25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</row>
    <row x14ac:dyDescent="0.25" r="191" customHeight="1" ht="14.25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</row>
    <row x14ac:dyDescent="0.25" r="192" customHeight="1" ht="14.25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</row>
    <row x14ac:dyDescent="0.25" r="193" customHeight="1" ht="14.25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</row>
    <row x14ac:dyDescent="0.25" r="194" customHeight="1" ht="14.25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</row>
    <row x14ac:dyDescent="0.25" r="195" customHeight="1" ht="14.2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</row>
    <row x14ac:dyDescent="0.25" r="196" customHeight="1" ht="14.25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</row>
    <row x14ac:dyDescent="0.25" r="197" customHeight="1" ht="14.25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</row>
    <row x14ac:dyDescent="0.25" r="198" customHeight="1" ht="14.25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</row>
    <row x14ac:dyDescent="0.25" r="199" customHeight="1" ht="14.25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</row>
    <row x14ac:dyDescent="0.25" r="200" customHeight="1" ht="14.25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</row>
    <row x14ac:dyDescent="0.25" r="201" customHeight="1" ht="14.25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</row>
    <row x14ac:dyDescent="0.25" r="202" customHeight="1" ht="14.25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</row>
    <row x14ac:dyDescent="0.25" r="203" customHeight="1" ht="14.25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</row>
    <row x14ac:dyDescent="0.25" r="204" customHeight="1" ht="14.25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</row>
    <row x14ac:dyDescent="0.25" r="205" customHeight="1" ht="14.2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</row>
    <row x14ac:dyDescent="0.25" r="206" customHeight="1" ht="14.25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</row>
    <row x14ac:dyDescent="0.25" r="207" customHeight="1" ht="14.25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</row>
    <row x14ac:dyDescent="0.25" r="208" customHeight="1" ht="14.25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</row>
    <row x14ac:dyDescent="0.25" r="209" customHeight="1" ht="14.25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</row>
    <row x14ac:dyDescent="0.25" r="210" customHeight="1" ht="14.25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</row>
    <row x14ac:dyDescent="0.25" r="211" customHeight="1" ht="14.25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</row>
    <row x14ac:dyDescent="0.25" r="212" customHeight="1" ht="14.25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</row>
    <row x14ac:dyDescent="0.25" r="213" customHeight="1" ht="14.25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</row>
    <row x14ac:dyDescent="0.25" r="214" customHeight="1" ht="14.25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</row>
    <row x14ac:dyDescent="0.25" r="215" customHeight="1" ht="14.2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</row>
    <row x14ac:dyDescent="0.25" r="216" customHeight="1" ht="14.2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</row>
    <row x14ac:dyDescent="0.25" r="217" customHeight="1" ht="14.25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</row>
    <row x14ac:dyDescent="0.25" r="218" customHeight="1" ht="14.25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</row>
    <row x14ac:dyDescent="0.25" r="219" customHeight="1" ht="14.25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</row>
    <row x14ac:dyDescent="0.25" r="220" customHeight="1" ht="14.25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</row>
    <row x14ac:dyDescent="0.25" r="221" customHeight="1" ht="14.25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</row>
    <row x14ac:dyDescent="0.25" r="222" customHeight="1" ht="14.25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</row>
    <row x14ac:dyDescent="0.25" r="223" customHeight="1" ht="14.2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</row>
    <row x14ac:dyDescent="0.25" r="224" customHeight="1" ht="14.25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</row>
    <row x14ac:dyDescent="0.25" r="225" customHeight="1" ht="14.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</row>
    <row x14ac:dyDescent="0.25" r="226" customHeight="1" ht="14.25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</row>
    <row x14ac:dyDescent="0.25" r="227" customHeight="1" ht="14.25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</row>
    <row x14ac:dyDescent="0.25" r="228" customHeight="1" ht="14.25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</row>
    <row x14ac:dyDescent="0.25" r="229" customHeight="1" ht="14.25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</row>
    <row x14ac:dyDescent="0.25" r="230" customHeight="1" ht="14.2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</row>
    <row x14ac:dyDescent="0.25" r="231" customHeight="1" ht="14.25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</row>
    <row x14ac:dyDescent="0.25" r="232" customHeight="1" ht="14.25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</row>
    <row x14ac:dyDescent="0.25" r="233" customHeight="1" ht="14.25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</row>
    <row x14ac:dyDescent="0.25" r="234" customHeight="1" ht="14.25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</row>
    <row x14ac:dyDescent="0.25" r="235" customHeight="1" ht="14.2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</row>
    <row x14ac:dyDescent="0.25" r="236" customHeight="1" ht="14.25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</row>
    <row x14ac:dyDescent="0.25" r="237" customHeight="1" ht="14.25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</row>
    <row x14ac:dyDescent="0.25" r="238" customHeight="1" ht="14.25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</row>
    <row x14ac:dyDescent="0.25" r="239" customHeight="1" ht="14.25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</row>
    <row x14ac:dyDescent="0.25" r="240" customHeight="1" ht="14.25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</row>
    <row x14ac:dyDescent="0.25" r="241" customHeight="1" ht="14.2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</row>
    <row x14ac:dyDescent="0.25" r="242" customHeight="1" ht="14.25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</row>
    <row x14ac:dyDescent="0.25" r="243" customHeight="1" ht="14.25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</row>
    <row x14ac:dyDescent="0.25" r="244" customHeight="1" ht="14.25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</row>
    <row x14ac:dyDescent="0.25" r="245" customHeight="1" ht="14.2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</row>
    <row x14ac:dyDescent="0.25" r="246" customHeight="1" ht="14.25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</row>
    <row x14ac:dyDescent="0.25" r="247" customHeight="1" ht="14.25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</row>
    <row x14ac:dyDescent="0.25" r="248" customHeight="1" ht="14.25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</row>
    <row x14ac:dyDescent="0.25" r="249" customHeight="1" ht="14.25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</row>
    <row x14ac:dyDescent="0.25" r="250" customHeight="1" ht="14.25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</row>
    <row x14ac:dyDescent="0.25" r="251" customHeight="1" ht="14.25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</row>
    <row x14ac:dyDescent="0.25" r="252" customHeight="1" ht="14.25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</row>
    <row x14ac:dyDescent="0.25" r="253" customHeight="1" ht="14.25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</row>
    <row x14ac:dyDescent="0.25" r="254" customHeight="1" ht="14.25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</row>
    <row x14ac:dyDescent="0.25" r="255" customHeight="1" ht="14.2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</row>
    <row x14ac:dyDescent="0.25" r="256" customHeight="1" ht="14.25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</row>
    <row x14ac:dyDescent="0.25" r="257" customHeight="1" ht="14.25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</row>
    <row x14ac:dyDescent="0.25" r="258" customHeight="1" ht="14.25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</row>
    <row x14ac:dyDescent="0.25" r="259" customHeight="1" ht="14.2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</row>
    <row x14ac:dyDescent="0.25" r="260" customHeight="1" ht="14.25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</row>
    <row x14ac:dyDescent="0.25" r="261" customHeight="1" ht="14.25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</row>
    <row x14ac:dyDescent="0.25" r="262" customHeight="1" ht="14.25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</row>
    <row x14ac:dyDescent="0.25" r="263" customHeight="1" ht="14.25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</row>
    <row x14ac:dyDescent="0.25" r="264" customHeight="1" ht="14.25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</row>
    <row x14ac:dyDescent="0.25" r="265" customHeight="1" ht="14.2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</row>
    <row x14ac:dyDescent="0.25" r="266" customHeight="1" ht="14.25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</row>
    <row x14ac:dyDescent="0.25" r="267" customHeight="1" ht="14.25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</row>
    <row x14ac:dyDescent="0.25" r="268" customHeight="1" ht="14.25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</row>
    <row x14ac:dyDescent="0.25" r="269" customHeight="1" ht="14.25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</row>
    <row x14ac:dyDescent="0.25" r="270" customHeight="1" ht="14.25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</row>
    <row x14ac:dyDescent="0.25" r="271" customHeight="1" ht="14.25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</row>
    <row x14ac:dyDescent="0.25" r="272" customHeight="1" ht="14.25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</row>
    <row x14ac:dyDescent="0.25" r="273" customHeight="1" ht="14.25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</row>
    <row x14ac:dyDescent="0.25" r="274" customHeight="1" ht="14.25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</row>
    <row x14ac:dyDescent="0.25" r="275" customHeight="1" ht="14.2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</row>
    <row x14ac:dyDescent="0.25" r="276" customHeight="1" ht="14.25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</row>
    <row x14ac:dyDescent="0.25" r="277" customHeight="1" ht="14.2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</row>
    <row x14ac:dyDescent="0.25" r="278" customHeight="1" ht="14.25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</row>
    <row x14ac:dyDescent="0.25" r="279" customHeight="1" ht="14.25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</row>
    <row x14ac:dyDescent="0.25" r="280" customHeight="1" ht="14.25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</row>
    <row x14ac:dyDescent="0.25" r="281" customHeight="1" ht="14.25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</row>
    <row x14ac:dyDescent="0.25" r="282" customHeight="1" ht="14.25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</row>
    <row x14ac:dyDescent="0.25" r="283" customHeight="1" ht="14.25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</row>
    <row x14ac:dyDescent="0.25" r="284" customHeight="1" ht="14.25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</row>
    <row x14ac:dyDescent="0.25" r="285" customHeight="1" ht="14.2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</row>
    <row x14ac:dyDescent="0.25" r="286" customHeight="1" ht="14.25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</row>
    <row x14ac:dyDescent="0.25" r="287" customHeight="1" ht="14.25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</row>
    <row x14ac:dyDescent="0.25" r="288" customHeight="1" ht="14.25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</row>
    <row x14ac:dyDescent="0.25" r="289" customHeight="1" ht="14.25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</row>
    <row x14ac:dyDescent="0.25" r="290" customHeight="1" ht="14.25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</row>
    <row x14ac:dyDescent="0.25" r="291" customHeight="1" ht="14.25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</row>
    <row x14ac:dyDescent="0.25" r="292" customHeight="1" ht="14.25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</row>
    <row x14ac:dyDescent="0.25" r="293" customHeight="1" ht="14.25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</row>
    <row x14ac:dyDescent="0.25" r="294" customHeight="1" ht="14.25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</row>
    <row x14ac:dyDescent="0.25" r="295" customHeight="1" ht="14.2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</row>
    <row x14ac:dyDescent="0.25" r="296" customHeight="1" ht="14.25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</row>
    <row x14ac:dyDescent="0.25" r="297" customHeight="1" ht="14.25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</row>
    <row x14ac:dyDescent="0.25" r="298" customHeight="1" ht="14.25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</row>
    <row x14ac:dyDescent="0.25" r="299" customHeight="1" ht="14.25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</row>
    <row x14ac:dyDescent="0.25" r="300" customHeight="1" ht="14.25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</row>
    <row x14ac:dyDescent="0.25" r="301" customHeight="1" ht="14.25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</row>
    <row x14ac:dyDescent="0.25" r="302" customHeight="1" ht="14.25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</row>
    <row x14ac:dyDescent="0.25" r="303" customHeight="1" ht="14.25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</row>
    <row x14ac:dyDescent="0.25" r="304" customHeight="1" ht="14.25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</row>
    <row x14ac:dyDescent="0.25" r="305" customHeight="1" ht="14.2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</row>
    <row x14ac:dyDescent="0.25" r="306" customHeight="1" ht="14.25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</row>
    <row x14ac:dyDescent="0.25" r="307" customHeight="1" ht="14.25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</row>
    <row x14ac:dyDescent="0.25" r="308" customHeight="1" ht="14.25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</row>
    <row x14ac:dyDescent="0.25" r="309" customHeight="1" ht="14.25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</row>
    <row x14ac:dyDescent="0.25" r="310" customHeight="1" ht="14.25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</row>
    <row x14ac:dyDescent="0.25" r="311" customHeight="1" ht="14.25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</row>
    <row x14ac:dyDescent="0.25" r="312" customHeight="1" ht="14.25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</row>
    <row x14ac:dyDescent="0.25" r="313" customHeight="1" ht="14.2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</row>
    <row x14ac:dyDescent="0.25" r="314" customHeight="1" ht="14.25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</row>
    <row x14ac:dyDescent="0.25" r="315" customHeight="1" ht="14.2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</row>
    <row x14ac:dyDescent="0.25" r="316" customHeight="1" ht="14.25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</row>
    <row x14ac:dyDescent="0.25" r="317" customHeight="1" ht="14.25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</row>
    <row x14ac:dyDescent="0.25" r="318" customHeight="1" ht="14.25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</row>
    <row x14ac:dyDescent="0.25" r="319" customHeight="1" ht="14.25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</row>
    <row x14ac:dyDescent="0.25" r="320" customHeight="1" ht="14.25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</row>
    <row x14ac:dyDescent="0.25" r="321" customHeight="1" ht="14.25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</row>
    <row x14ac:dyDescent="0.25" r="322" customHeight="1" ht="14.25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</row>
    <row x14ac:dyDescent="0.25" r="323" customHeight="1" ht="14.25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</row>
    <row x14ac:dyDescent="0.25" r="324" customHeight="1" ht="14.25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</row>
    <row x14ac:dyDescent="0.25" r="325" customHeight="1" ht="14.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</row>
    <row x14ac:dyDescent="0.25" r="326" customHeight="1" ht="14.25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</row>
    <row x14ac:dyDescent="0.25" r="327" customHeight="1" ht="14.25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</row>
    <row x14ac:dyDescent="0.25" r="328" customHeight="1" ht="14.25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</row>
    <row x14ac:dyDescent="0.25" r="329" customHeight="1" ht="14.25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</row>
    <row x14ac:dyDescent="0.25" r="330" customHeight="1" ht="14.25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</row>
    <row x14ac:dyDescent="0.25" r="331" customHeight="1" ht="14.2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</row>
    <row x14ac:dyDescent="0.25" r="332" customHeight="1" ht="14.25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</row>
    <row x14ac:dyDescent="0.25" r="333" customHeight="1" ht="14.25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</row>
    <row x14ac:dyDescent="0.25" r="334" customHeight="1" ht="14.25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</row>
    <row x14ac:dyDescent="0.25" r="335" customHeight="1" ht="14.2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</row>
    <row x14ac:dyDescent="0.25" r="336" customHeight="1" ht="14.25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</row>
    <row x14ac:dyDescent="0.25" r="337" customHeight="1" ht="14.25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</row>
    <row x14ac:dyDescent="0.25" r="338" customHeight="1" ht="14.25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</row>
    <row x14ac:dyDescent="0.25" r="339" customHeight="1" ht="14.25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</row>
    <row x14ac:dyDescent="0.25" r="340" customHeight="1" ht="14.25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</row>
    <row x14ac:dyDescent="0.25" r="341" customHeight="1" ht="14.25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</row>
    <row x14ac:dyDescent="0.25" r="342" customHeight="1" ht="14.25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</row>
    <row x14ac:dyDescent="0.25" r="343" customHeight="1" ht="14.25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</row>
    <row x14ac:dyDescent="0.25" r="344" customHeight="1" ht="14.25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</row>
    <row x14ac:dyDescent="0.25" r="345" customHeight="1" ht="14.2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</row>
    <row x14ac:dyDescent="0.25" r="346" customHeight="1" ht="14.25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</row>
    <row x14ac:dyDescent="0.25" r="347" customHeight="1" ht="14.25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</row>
    <row x14ac:dyDescent="0.25" r="348" customHeight="1" ht="14.25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</row>
    <row x14ac:dyDescent="0.25" r="349" customHeight="1" ht="14.2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</row>
    <row x14ac:dyDescent="0.25" r="350" customHeight="1" ht="14.25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</row>
    <row x14ac:dyDescent="0.25" r="351" customHeight="1" ht="14.25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</row>
    <row x14ac:dyDescent="0.25" r="352" customHeight="1" ht="14.25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</row>
    <row x14ac:dyDescent="0.25" r="353" customHeight="1" ht="14.25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</row>
    <row x14ac:dyDescent="0.25" r="354" customHeight="1" ht="14.25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</row>
    <row x14ac:dyDescent="0.25" r="355" customHeight="1" ht="14.2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</row>
    <row x14ac:dyDescent="0.25" r="356" customHeight="1" ht="14.25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</row>
    <row x14ac:dyDescent="0.25" r="357" customHeight="1" ht="14.25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</row>
    <row x14ac:dyDescent="0.25" r="358" customHeight="1" ht="14.25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</row>
    <row x14ac:dyDescent="0.25" r="359" customHeight="1" ht="14.25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</row>
    <row x14ac:dyDescent="0.25" r="360" customHeight="1" ht="14.25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</row>
    <row x14ac:dyDescent="0.25" r="361" customHeight="1" ht="14.25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</row>
    <row x14ac:dyDescent="0.25" r="362" customHeight="1" ht="14.25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</row>
    <row x14ac:dyDescent="0.25" r="363" customHeight="1" ht="14.25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</row>
    <row x14ac:dyDescent="0.25" r="364" customHeight="1" ht="14.25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</row>
    <row x14ac:dyDescent="0.25" r="365" customHeight="1" ht="14.2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</row>
    <row x14ac:dyDescent="0.25" r="366" customHeight="1" ht="14.25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</row>
    <row x14ac:dyDescent="0.25" r="367" customHeight="1" ht="14.2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</row>
    <row x14ac:dyDescent="0.25" r="368" customHeight="1" ht="14.25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</row>
    <row x14ac:dyDescent="0.25" r="369" customHeight="1" ht="14.25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</row>
    <row x14ac:dyDescent="0.25" r="370" customHeight="1" ht="14.25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</row>
    <row x14ac:dyDescent="0.25" r="371" customHeight="1" ht="14.25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</row>
    <row x14ac:dyDescent="0.25" r="372" customHeight="1" ht="14.25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</row>
    <row x14ac:dyDescent="0.25" r="373" customHeight="1" ht="14.25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</row>
    <row x14ac:dyDescent="0.25" r="374" customHeight="1" ht="14.25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</row>
    <row x14ac:dyDescent="0.25" r="375" customHeight="1" ht="14.2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</row>
    <row x14ac:dyDescent="0.25" r="376" customHeight="1" ht="14.25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</row>
    <row x14ac:dyDescent="0.25" r="377" customHeight="1" ht="14.25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</row>
    <row x14ac:dyDescent="0.25" r="378" customHeight="1" ht="14.25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</row>
    <row x14ac:dyDescent="0.25" r="379" customHeight="1" ht="14.25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</row>
    <row x14ac:dyDescent="0.25" r="380" customHeight="1" ht="14.25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</row>
    <row x14ac:dyDescent="0.25" r="381" customHeight="1" ht="14.25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</row>
    <row x14ac:dyDescent="0.25" r="382" customHeight="1" ht="14.25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</row>
    <row x14ac:dyDescent="0.25" r="383" customHeight="1" ht="14.25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</row>
    <row x14ac:dyDescent="0.25" r="384" customHeight="1" ht="14.25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</row>
    <row x14ac:dyDescent="0.25" r="385" customHeight="1" ht="14.2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</row>
    <row x14ac:dyDescent="0.25" r="386" customHeight="1" ht="14.25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</row>
    <row x14ac:dyDescent="0.25" r="387" customHeight="1" ht="14.25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</row>
    <row x14ac:dyDescent="0.25" r="388" customHeight="1" ht="14.25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</row>
    <row x14ac:dyDescent="0.25" r="389" customHeight="1" ht="14.25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</row>
    <row x14ac:dyDescent="0.25" r="390" customHeight="1" ht="14.25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</row>
    <row x14ac:dyDescent="0.25" r="391" customHeight="1" ht="14.25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</row>
    <row x14ac:dyDescent="0.25" r="392" customHeight="1" ht="14.25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</row>
    <row x14ac:dyDescent="0.25" r="393" customHeight="1" ht="14.25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</row>
    <row x14ac:dyDescent="0.25" r="394" customHeight="1" ht="14.25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</row>
    <row x14ac:dyDescent="0.25" r="395" customHeight="1" ht="14.2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</row>
    <row x14ac:dyDescent="0.25" r="396" customHeight="1" ht="14.25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</row>
    <row x14ac:dyDescent="0.25" r="397" customHeight="1" ht="14.25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</row>
    <row x14ac:dyDescent="0.25" r="398" customHeight="1" ht="14.25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</row>
    <row x14ac:dyDescent="0.25" r="399" customHeight="1" ht="14.25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</row>
    <row x14ac:dyDescent="0.25" r="400" customHeight="1" ht="14.25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</row>
    <row x14ac:dyDescent="0.25" r="401" customHeight="1" ht="14.25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</row>
    <row x14ac:dyDescent="0.25" r="402" customHeight="1" ht="14.25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</row>
    <row x14ac:dyDescent="0.25" r="403" customHeight="1" ht="14.2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</row>
    <row x14ac:dyDescent="0.25" r="404" customHeight="1" ht="14.25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</row>
    <row x14ac:dyDescent="0.25" r="405" customHeight="1" ht="14.2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</row>
    <row x14ac:dyDescent="0.25" r="406" customHeight="1" ht="14.25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</row>
    <row x14ac:dyDescent="0.25" r="407" customHeight="1" ht="14.25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</row>
    <row x14ac:dyDescent="0.25" r="408" customHeight="1" ht="14.25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</row>
    <row x14ac:dyDescent="0.25" r="409" customHeight="1" ht="14.25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</row>
    <row x14ac:dyDescent="0.25" r="410" customHeight="1" ht="14.25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</row>
    <row x14ac:dyDescent="0.25" r="411" customHeight="1" ht="14.25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</row>
    <row x14ac:dyDescent="0.25" r="412" customHeight="1" ht="14.25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</row>
    <row x14ac:dyDescent="0.25" r="413" customHeight="1" ht="14.25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</row>
    <row x14ac:dyDescent="0.25" r="414" customHeight="1" ht="14.25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</row>
    <row x14ac:dyDescent="0.25" r="415" customHeight="1" ht="14.2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</row>
    <row x14ac:dyDescent="0.25" r="416" customHeight="1" ht="14.25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</row>
    <row x14ac:dyDescent="0.25" r="417" customHeight="1" ht="14.25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</row>
    <row x14ac:dyDescent="0.25" r="418" customHeight="1" ht="14.25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</row>
    <row x14ac:dyDescent="0.25" r="419" customHeight="1" ht="14.25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</row>
    <row x14ac:dyDescent="0.25" r="420" customHeight="1" ht="14.25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</row>
    <row x14ac:dyDescent="0.25" r="421" customHeight="1" ht="14.2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</row>
    <row x14ac:dyDescent="0.25" r="422" customHeight="1" ht="14.25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</row>
    <row x14ac:dyDescent="0.25" r="423" customHeight="1" ht="14.25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</row>
    <row x14ac:dyDescent="0.25" r="424" customHeight="1" ht="14.25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</row>
    <row x14ac:dyDescent="0.25" r="425" customHeight="1" ht="14.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</row>
    <row x14ac:dyDescent="0.25" r="426" customHeight="1" ht="14.25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</row>
    <row x14ac:dyDescent="0.25" r="427" customHeight="1" ht="14.25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</row>
    <row x14ac:dyDescent="0.25" r="428" customHeight="1" ht="14.25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</row>
    <row x14ac:dyDescent="0.25" r="429" customHeight="1" ht="14.25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</row>
    <row x14ac:dyDescent="0.25" r="430" customHeight="1" ht="14.25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</row>
    <row x14ac:dyDescent="0.25" r="431" customHeight="1" ht="14.25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</row>
    <row x14ac:dyDescent="0.25" r="432" customHeight="1" ht="14.25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</row>
    <row x14ac:dyDescent="0.25" r="433" customHeight="1" ht="14.25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</row>
    <row x14ac:dyDescent="0.25" r="434" customHeight="1" ht="14.25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</row>
    <row x14ac:dyDescent="0.25" r="435" customHeight="1" ht="14.2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</row>
    <row x14ac:dyDescent="0.25" r="436" customHeight="1" ht="14.25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</row>
    <row x14ac:dyDescent="0.25" r="437" customHeight="1" ht="14.25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</row>
    <row x14ac:dyDescent="0.25" r="438" customHeight="1" ht="14.25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</row>
    <row x14ac:dyDescent="0.25" r="439" customHeight="1" ht="14.2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</row>
    <row x14ac:dyDescent="0.25" r="440" customHeight="1" ht="14.25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</row>
    <row x14ac:dyDescent="0.25" r="441" customHeight="1" ht="14.25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</row>
    <row x14ac:dyDescent="0.25" r="442" customHeight="1" ht="14.25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</row>
    <row x14ac:dyDescent="0.25" r="443" customHeight="1" ht="14.25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</row>
    <row x14ac:dyDescent="0.25" r="444" customHeight="1" ht="14.25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</row>
    <row x14ac:dyDescent="0.25" r="445" customHeight="1" ht="14.2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</row>
    <row x14ac:dyDescent="0.25" r="446" customHeight="1" ht="14.25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</row>
    <row x14ac:dyDescent="0.25" r="447" customHeight="1" ht="14.25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</row>
    <row x14ac:dyDescent="0.25" r="448" customHeight="1" ht="14.25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</row>
    <row x14ac:dyDescent="0.25" r="449" customHeight="1" ht="14.25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</row>
    <row x14ac:dyDescent="0.25" r="450" customHeight="1" ht="14.25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</row>
    <row x14ac:dyDescent="0.25" r="451" customHeight="1" ht="14.25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</row>
    <row x14ac:dyDescent="0.25" r="452" customHeight="1" ht="14.25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</row>
    <row x14ac:dyDescent="0.25" r="453" customHeight="1" ht="14.25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</row>
    <row x14ac:dyDescent="0.25" r="454" customHeight="1" ht="14.25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</row>
    <row x14ac:dyDescent="0.25" r="455" customHeight="1" ht="14.2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</row>
    <row x14ac:dyDescent="0.25" r="456" customHeight="1" ht="14.25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</row>
    <row x14ac:dyDescent="0.25" r="457" customHeight="1" ht="14.2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</row>
    <row x14ac:dyDescent="0.25" r="458" customHeight="1" ht="14.25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</row>
    <row x14ac:dyDescent="0.25" r="459" customHeight="1" ht="14.25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</row>
    <row x14ac:dyDescent="0.25" r="460" customHeight="1" ht="14.25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</row>
    <row x14ac:dyDescent="0.25" r="461" customHeight="1" ht="14.25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</row>
    <row x14ac:dyDescent="0.25" r="462" customHeight="1" ht="14.25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</row>
    <row x14ac:dyDescent="0.25" r="463" customHeight="1" ht="14.25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</row>
    <row x14ac:dyDescent="0.25" r="464" customHeight="1" ht="14.25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</row>
    <row x14ac:dyDescent="0.25" r="465" customHeight="1" ht="14.2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</row>
    <row x14ac:dyDescent="0.25" r="466" customHeight="1" ht="14.25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</row>
    <row x14ac:dyDescent="0.25" r="467" customHeight="1" ht="14.25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</row>
    <row x14ac:dyDescent="0.25" r="468" customHeight="1" ht="14.25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</row>
    <row x14ac:dyDescent="0.25" r="469" customHeight="1" ht="14.25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</row>
    <row x14ac:dyDescent="0.25" r="470" customHeight="1" ht="14.25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</row>
    <row x14ac:dyDescent="0.25" r="471" customHeight="1" ht="14.25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</row>
    <row x14ac:dyDescent="0.25" r="472" customHeight="1" ht="14.25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</row>
    <row x14ac:dyDescent="0.25" r="473" customHeight="1" ht="14.25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</row>
    <row x14ac:dyDescent="0.25" r="474" customHeight="1" ht="14.25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</row>
    <row x14ac:dyDescent="0.25" r="475" customHeight="1" ht="14.2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</row>
    <row x14ac:dyDescent="0.25" r="476" customHeight="1" ht="14.25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</row>
    <row x14ac:dyDescent="0.25" r="477" customHeight="1" ht="14.25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</row>
    <row x14ac:dyDescent="0.25" r="478" customHeight="1" ht="14.25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</row>
    <row x14ac:dyDescent="0.25" r="479" customHeight="1" ht="14.25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</row>
    <row x14ac:dyDescent="0.25" r="480" customHeight="1" ht="14.25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</row>
    <row x14ac:dyDescent="0.25" r="481" customHeight="1" ht="14.25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</row>
    <row x14ac:dyDescent="0.25" r="482" customHeight="1" ht="14.25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</row>
    <row x14ac:dyDescent="0.25" r="483" customHeight="1" ht="14.25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</row>
    <row x14ac:dyDescent="0.25" r="484" customHeight="1" ht="14.25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</row>
    <row x14ac:dyDescent="0.25" r="485" customHeight="1" ht="14.2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</row>
    <row x14ac:dyDescent="0.25" r="486" customHeight="1" ht="14.25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</row>
    <row x14ac:dyDescent="0.25" r="487" customHeight="1" ht="14.25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</row>
    <row x14ac:dyDescent="0.25" r="488" customHeight="1" ht="14.25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</row>
    <row x14ac:dyDescent="0.25" r="489" customHeight="1" ht="14.25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</row>
    <row x14ac:dyDescent="0.25" r="490" customHeight="1" ht="14.25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</row>
    <row x14ac:dyDescent="0.25" r="491" customHeight="1" ht="14.25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</row>
    <row x14ac:dyDescent="0.25" r="492" customHeight="1" ht="14.25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</row>
    <row x14ac:dyDescent="0.25" r="493" customHeight="1" ht="14.2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</row>
    <row x14ac:dyDescent="0.25" r="494" customHeight="1" ht="14.25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</row>
    <row x14ac:dyDescent="0.25" r="495" customHeight="1" ht="14.2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</row>
    <row x14ac:dyDescent="0.25" r="496" customHeight="1" ht="14.25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</row>
    <row x14ac:dyDescent="0.25" r="497" customHeight="1" ht="14.25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</row>
    <row x14ac:dyDescent="0.25" r="498" customHeight="1" ht="14.25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</row>
    <row x14ac:dyDescent="0.25" r="499" customHeight="1" ht="14.25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</row>
    <row x14ac:dyDescent="0.25" r="500" customHeight="1" ht="14.25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</row>
    <row x14ac:dyDescent="0.25" r="501" customHeight="1" ht="14.25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</row>
    <row x14ac:dyDescent="0.25" r="502" customHeight="1" ht="14.25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</row>
    <row x14ac:dyDescent="0.25" r="503" customHeight="1" ht="14.25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</row>
    <row x14ac:dyDescent="0.25" r="504" customHeight="1" ht="14.25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</row>
    <row x14ac:dyDescent="0.25" r="505" customHeight="1" ht="14.2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</row>
    <row x14ac:dyDescent="0.25" r="506" customHeight="1" ht="14.25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</row>
    <row x14ac:dyDescent="0.25" r="507" customHeight="1" ht="14.25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</row>
    <row x14ac:dyDescent="0.25" r="508" customHeight="1" ht="14.25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</row>
    <row x14ac:dyDescent="0.25" r="509" customHeight="1" ht="14.25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</row>
    <row x14ac:dyDescent="0.25" r="510" customHeight="1" ht="14.25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</row>
    <row x14ac:dyDescent="0.25" r="511" customHeight="1" ht="14.2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</row>
    <row x14ac:dyDescent="0.25" r="512" customHeight="1" ht="14.25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</row>
    <row x14ac:dyDescent="0.25" r="513" customHeight="1" ht="14.25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</row>
    <row x14ac:dyDescent="0.25" r="514" customHeight="1" ht="14.25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</row>
    <row x14ac:dyDescent="0.25" r="515" customHeight="1" ht="14.2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</row>
    <row x14ac:dyDescent="0.25" r="516" customHeight="1" ht="14.25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</row>
    <row x14ac:dyDescent="0.25" r="517" customHeight="1" ht="14.25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</row>
    <row x14ac:dyDescent="0.25" r="518" customHeight="1" ht="14.25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</row>
    <row x14ac:dyDescent="0.25" r="519" customHeight="1" ht="14.25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</row>
    <row x14ac:dyDescent="0.25" r="520" customHeight="1" ht="14.25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</row>
    <row x14ac:dyDescent="0.25" r="521" customHeight="1" ht="14.25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</row>
    <row x14ac:dyDescent="0.25" r="522" customHeight="1" ht="14.25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</row>
    <row x14ac:dyDescent="0.25" r="523" customHeight="1" ht="14.25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</row>
    <row x14ac:dyDescent="0.25" r="524" customHeight="1" ht="14.25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</row>
    <row x14ac:dyDescent="0.25" r="525" customHeight="1" ht="14.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</row>
    <row x14ac:dyDescent="0.25" r="526" customHeight="1" ht="14.25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</row>
    <row x14ac:dyDescent="0.25" r="527" customHeight="1" ht="14.25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</row>
    <row x14ac:dyDescent="0.25" r="528" customHeight="1" ht="14.25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</row>
    <row x14ac:dyDescent="0.25" r="529" customHeight="1" ht="14.2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</row>
    <row x14ac:dyDescent="0.25" r="530" customHeight="1" ht="14.25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</row>
    <row x14ac:dyDescent="0.25" r="531" customHeight="1" ht="14.25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</row>
    <row x14ac:dyDescent="0.25" r="532" customHeight="1" ht="14.25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</row>
    <row x14ac:dyDescent="0.25" r="533" customHeight="1" ht="14.25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</row>
    <row x14ac:dyDescent="0.25" r="534" customHeight="1" ht="14.25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</row>
    <row x14ac:dyDescent="0.25" r="535" customHeight="1" ht="14.2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</row>
    <row x14ac:dyDescent="0.25" r="536" customHeight="1" ht="14.25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</row>
    <row x14ac:dyDescent="0.25" r="537" customHeight="1" ht="14.25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</row>
    <row x14ac:dyDescent="0.25" r="538" customHeight="1" ht="14.25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</row>
    <row x14ac:dyDescent="0.25" r="539" customHeight="1" ht="14.25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</row>
    <row x14ac:dyDescent="0.25" r="540" customHeight="1" ht="14.25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</row>
    <row x14ac:dyDescent="0.25" r="541" customHeight="1" ht="14.25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</row>
    <row x14ac:dyDescent="0.25" r="542" customHeight="1" ht="14.25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</row>
    <row x14ac:dyDescent="0.25" r="543" customHeight="1" ht="14.25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</row>
    <row x14ac:dyDescent="0.25" r="544" customHeight="1" ht="14.25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</row>
    <row x14ac:dyDescent="0.25" r="545" customHeight="1" ht="14.2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</row>
    <row x14ac:dyDescent="0.25" r="546" customHeight="1" ht="14.25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</row>
    <row x14ac:dyDescent="0.25" r="547" customHeight="1" ht="14.2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</row>
    <row x14ac:dyDescent="0.25" r="548" customHeight="1" ht="14.25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</row>
    <row x14ac:dyDescent="0.25" r="549" customHeight="1" ht="14.25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</row>
    <row x14ac:dyDescent="0.25" r="550" customHeight="1" ht="14.25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</row>
    <row x14ac:dyDescent="0.25" r="551" customHeight="1" ht="14.25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</row>
    <row x14ac:dyDescent="0.25" r="552" customHeight="1" ht="14.25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</row>
    <row x14ac:dyDescent="0.25" r="553" customHeight="1" ht="14.25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</row>
    <row x14ac:dyDescent="0.25" r="554" customHeight="1" ht="14.25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</row>
    <row x14ac:dyDescent="0.25" r="555" customHeight="1" ht="14.2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</row>
    <row x14ac:dyDescent="0.25" r="556" customHeight="1" ht="14.25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</row>
    <row x14ac:dyDescent="0.25" r="557" customHeight="1" ht="14.25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</row>
    <row x14ac:dyDescent="0.25" r="558" customHeight="1" ht="14.25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</row>
    <row x14ac:dyDescent="0.25" r="559" customHeight="1" ht="14.25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</row>
    <row x14ac:dyDescent="0.25" r="560" customHeight="1" ht="14.25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</row>
    <row x14ac:dyDescent="0.25" r="561" customHeight="1" ht="14.25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</row>
    <row x14ac:dyDescent="0.25" r="562" customHeight="1" ht="14.25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</row>
    <row x14ac:dyDescent="0.25" r="563" customHeight="1" ht="14.25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</row>
    <row x14ac:dyDescent="0.25" r="564" customHeight="1" ht="14.25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</row>
    <row x14ac:dyDescent="0.25" r="565" customHeight="1" ht="14.2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</row>
    <row x14ac:dyDescent="0.25" r="566" customHeight="1" ht="14.25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</row>
    <row x14ac:dyDescent="0.25" r="567" customHeight="1" ht="14.25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</row>
    <row x14ac:dyDescent="0.25" r="568" customHeight="1" ht="14.25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</row>
    <row x14ac:dyDescent="0.25" r="569" customHeight="1" ht="14.25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</row>
    <row x14ac:dyDescent="0.25" r="570" customHeight="1" ht="14.25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</row>
    <row x14ac:dyDescent="0.25" r="571" customHeight="1" ht="14.25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</row>
    <row x14ac:dyDescent="0.25" r="572" customHeight="1" ht="14.25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</row>
    <row x14ac:dyDescent="0.25" r="573" customHeight="1" ht="14.25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</row>
    <row x14ac:dyDescent="0.25" r="574" customHeight="1" ht="14.25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</row>
    <row x14ac:dyDescent="0.25" r="575" customHeight="1" ht="14.2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</row>
    <row x14ac:dyDescent="0.25" r="576" customHeight="1" ht="14.25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</row>
    <row x14ac:dyDescent="0.25" r="577" customHeight="1" ht="14.25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</row>
    <row x14ac:dyDescent="0.25" r="578" customHeight="1" ht="14.25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</row>
    <row x14ac:dyDescent="0.25" r="579" customHeight="1" ht="14.25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</row>
    <row x14ac:dyDescent="0.25" r="580" customHeight="1" ht="14.25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</row>
    <row x14ac:dyDescent="0.25" r="581" customHeight="1" ht="14.25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</row>
    <row x14ac:dyDescent="0.25" r="582" customHeight="1" ht="14.25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</row>
    <row x14ac:dyDescent="0.25" r="583" customHeight="1" ht="14.2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</row>
    <row x14ac:dyDescent="0.25" r="584" customHeight="1" ht="14.25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</row>
    <row x14ac:dyDescent="0.25" r="585" customHeight="1" ht="14.2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</row>
    <row x14ac:dyDescent="0.25" r="586" customHeight="1" ht="14.25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</row>
    <row x14ac:dyDescent="0.25" r="587" customHeight="1" ht="14.25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</row>
    <row x14ac:dyDescent="0.25" r="588" customHeight="1" ht="14.25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</row>
    <row x14ac:dyDescent="0.25" r="589" customHeight="1" ht="14.25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</row>
    <row x14ac:dyDescent="0.25" r="590" customHeight="1" ht="14.25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</row>
    <row x14ac:dyDescent="0.25" r="591" customHeight="1" ht="14.25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</row>
    <row x14ac:dyDescent="0.25" r="592" customHeight="1" ht="14.25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</row>
    <row x14ac:dyDescent="0.25" r="593" customHeight="1" ht="14.25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</row>
    <row x14ac:dyDescent="0.25" r="594" customHeight="1" ht="14.25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</row>
    <row x14ac:dyDescent="0.25" r="595" customHeight="1" ht="14.2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</row>
    <row x14ac:dyDescent="0.25" r="596" customHeight="1" ht="14.25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</row>
    <row x14ac:dyDescent="0.25" r="597" customHeight="1" ht="14.25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</row>
    <row x14ac:dyDescent="0.25" r="598" customHeight="1" ht="14.25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</row>
    <row x14ac:dyDescent="0.25" r="599" customHeight="1" ht="14.25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</row>
    <row x14ac:dyDescent="0.25" r="600" customHeight="1" ht="14.25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</row>
    <row x14ac:dyDescent="0.25" r="601" customHeight="1" ht="14.2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</row>
    <row x14ac:dyDescent="0.25" r="602" customHeight="1" ht="14.25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</row>
    <row x14ac:dyDescent="0.25" r="603" customHeight="1" ht="14.25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</row>
    <row x14ac:dyDescent="0.25" r="604" customHeight="1" ht="14.25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</row>
    <row x14ac:dyDescent="0.25" r="605" customHeight="1" ht="14.2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</row>
    <row x14ac:dyDescent="0.25" r="606" customHeight="1" ht="14.25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</row>
    <row x14ac:dyDescent="0.25" r="607" customHeight="1" ht="14.25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</row>
    <row x14ac:dyDescent="0.25" r="608" customHeight="1" ht="14.25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</row>
    <row x14ac:dyDescent="0.25" r="609" customHeight="1" ht="14.25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</row>
    <row x14ac:dyDescent="0.25" r="610" customHeight="1" ht="14.25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</row>
    <row x14ac:dyDescent="0.25" r="611" customHeight="1" ht="14.25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</row>
    <row x14ac:dyDescent="0.25" r="612" customHeight="1" ht="14.25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</row>
    <row x14ac:dyDescent="0.25" r="613" customHeight="1" ht="14.25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</row>
    <row x14ac:dyDescent="0.25" r="614" customHeight="1" ht="14.25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</row>
    <row x14ac:dyDescent="0.25" r="615" customHeight="1" ht="14.2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</row>
    <row x14ac:dyDescent="0.25" r="616" customHeight="1" ht="14.25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</row>
    <row x14ac:dyDescent="0.25" r="617" customHeight="1" ht="14.25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</row>
    <row x14ac:dyDescent="0.25" r="618" customHeight="1" ht="14.25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</row>
    <row x14ac:dyDescent="0.25" r="619" customHeight="1" ht="14.2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</row>
    <row x14ac:dyDescent="0.25" r="620" customHeight="1" ht="14.25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</row>
    <row x14ac:dyDescent="0.25" r="621" customHeight="1" ht="14.25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</row>
    <row x14ac:dyDescent="0.25" r="622" customHeight="1" ht="14.25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</row>
    <row x14ac:dyDescent="0.25" r="623" customHeight="1" ht="14.25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</row>
    <row x14ac:dyDescent="0.25" r="624" customHeight="1" ht="14.25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</row>
    <row x14ac:dyDescent="0.25" r="625" customHeight="1" ht="14.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</row>
    <row x14ac:dyDescent="0.25" r="626" customHeight="1" ht="14.25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</row>
    <row x14ac:dyDescent="0.25" r="627" customHeight="1" ht="14.25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</row>
    <row x14ac:dyDescent="0.25" r="628" customHeight="1" ht="14.25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</row>
    <row x14ac:dyDescent="0.25" r="629" customHeight="1" ht="14.25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</row>
    <row x14ac:dyDescent="0.25" r="630" customHeight="1" ht="14.25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</row>
    <row x14ac:dyDescent="0.25" r="631" customHeight="1" ht="14.25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</row>
    <row x14ac:dyDescent="0.25" r="632" customHeight="1" ht="14.25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</row>
    <row x14ac:dyDescent="0.25" r="633" customHeight="1" ht="14.25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</row>
    <row x14ac:dyDescent="0.25" r="634" customHeight="1" ht="14.25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</row>
    <row x14ac:dyDescent="0.25" r="635" customHeight="1" ht="14.2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</row>
    <row x14ac:dyDescent="0.25" r="636" customHeight="1" ht="14.25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</row>
    <row x14ac:dyDescent="0.25" r="637" customHeight="1" ht="14.2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</row>
    <row x14ac:dyDescent="0.25" r="638" customHeight="1" ht="14.25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</row>
    <row x14ac:dyDescent="0.25" r="639" customHeight="1" ht="14.25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</row>
    <row x14ac:dyDescent="0.25" r="640" customHeight="1" ht="14.25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</row>
    <row x14ac:dyDescent="0.25" r="641" customHeight="1" ht="14.25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</row>
    <row x14ac:dyDescent="0.25" r="642" customHeight="1" ht="14.25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</row>
    <row x14ac:dyDescent="0.25" r="643" customHeight="1" ht="14.25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</row>
    <row x14ac:dyDescent="0.25" r="644" customHeight="1" ht="14.25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</row>
    <row x14ac:dyDescent="0.25" r="645" customHeight="1" ht="14.2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</row>
    <row x14ac:dyDescent="0.25" r="646" customHeight="1" ht="14.25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</row>
    <row x14ac:dyDescent="0.25" r="647" customHeight="1" ht="14.25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</row>
    <row x14ac:dyDescent="0.25" r="648" customHeight="1" ht="14.25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</row>
    <row x14ac:dyDescent="0.25" r="649" customHeight="1" ht="14.25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</row>
    <row x14ac:dyDescent="0.25" r="650" customHeight="1" ht="14.25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</row>
    <row x14ac:dyDescent="0.25" r="651" customHeight="1" ht="14.25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</row>
    <row x14ac:dyDescent="0.25" r="652" customHeight="1" ht="14.25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</row>
    <row x14ac:dyDescent="0.25" r="653" customHeight="1" ht="14.25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</row>
    <row x14ac:dyDescent="0.25" r="654" customHeight="1" ht="14.25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</row>
    <row x14ac:dyDescent="0.25" r="655" customHeight="1" ht="14.2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</row>
    <row x14ac:dyDescent="0.25" r="656" customHeight="1" ht="14.25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</row>
    <row x14ac:dyDescent="0.25" r="657" customHeight="1" ht="14.25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</row>
    <row x14ac:dyDescent="0.25" r="658" customHeight="1" ht="14.25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</row>
    <row x14ac:dyDescent="0.25" r="659" customHeight="1" ht="14.25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</row>
    <row x14ac:dyDescent="0.25" r="660" customHeight="1" ht="14.25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</row>
    <row x14ac:dyDescent="0.25" r="661" customHeight="1" ht="14.25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</row>
    <row x14ac:dyDescent="0.25" r="662" customHeight="1" ht="14.25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</row>
    <row x14ac:dyDescent="0.25" r="663" customHeight="1" ht="14.25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</row>
    <row x14ac:dyDescent="0.25" r="664" customHeight="1" ht="14.25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</row>
    <row x14ac:dyDescent="0.25" r="665" customHeight="1" ht="14.2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</row>
    <row x14ac:dyDescent="0.25" r="666" customHeight="1" ht="14.25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</row>
    <row x14ac:dyDescent="0.25" r="667" customHeight="1" ht="14.25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</row>
    <row x14ac:dyDescent="0.25" r="668" customHeight="1" ht="14.25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</row>
    <row x14ac:dyDescent="0.25" r="669" customHeight="1" ht="14.25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</row>
    <row x14ac:dyDescent="0.25" r="670" customHeight="1" ht="14.25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</row>
    <row x14ac:dyDescent="0.25" r="671" customHeight="1" ht="14.25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</row>
    <row x14ac:dyDescent="0.25" r="672" customHeight="1" ht="14.25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</row>
    <row x14ac:dyDescent="0.25" r="673" customHeight="1" ht="14.2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</row>
    <row x14ac:dyDescent="0.25" r="674" customHeight="1" ht="14.25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</row>
    <row x14ac:dyDescent="0.25" r="675" customHeight="1" ht="14.2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</row>
    <row x14ac:dyDescent="0.25" r="676" customHeight="1" ht="14.25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</row>
    <row x14ac:dyDescent="0.25" r="677" customHeight="1" ht="14.25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</row>
    <row x14ac:dyDescent="0.25" r="678" customHeight="1" ht="14.25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</row>
    <row x14ac:dyDescent="0.25" r="679" customHeight="1" ht="14.25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</row>
    <row x14ac:dyDescent="0.25" r="680" customHeight="1" ht="14.25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</row>
    <row x14ac:dyDescent="0.25" r="681" customHeight="1" ht="14.25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</row>
    <row x14ac:dyDescent="0.25" r="682" customHeight="1" ht="14.25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</row>
    <row x14ac:dyDescent="0.25" r="683" customHeight="1" ht="14.25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</row>
    <row x14ac:dyDescent="0.25" r="684" customHeight="1" ht="14.25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</row>
    <row x14ac:dyDescent="0.25" r="685" customHeight="1" ht="14.2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</row>
    <row x14ac:dyDescent="0.25" r="686" customHeight="1" ht="14.25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</row>
    <row x14ac:dyDescent="0.25" r="687" customHeight="1" ht="14.25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</row>
    <row x14ac:dyDescent="0.25" r="688" customHeight="1" ht="14.25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</row>
    <row x14ac:dyDescent="0.25" r="689" customHeight="1" ht="14.25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</row>
    <row x14ac:dyDescent="0.25" r="690" customHeight="1" ht="14.25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</row>
    <row x14ac:dyDescent="0.25" r="691" customHeight="1" ht="14.2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</row>
    <row x14ac:dyDescent="0.25" r="692" customHeight="1" ht="14.25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</row>
    <row x14ac:dyDescent="0.25" r="693" customHeight="1" ht="14.25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</row>
    <row x14ac:dyDescent="0.25" r="694" customHeight="1" ht="14.25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</row>
    <row x14ac:dyDescent="0.25" r="695" customHeight="1" ht="14.2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</row>
    <row x14ac:dyDescent="0.25" r="696" customHeight="1" ht="14.25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</row>
    <row x14ac:dyDescent="0.25" r="697" customHeight="1" ht="14.25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</row>
    <row x14ac:dyDescent="0.25" r="698" customHeight="1" ht="14.25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</row>
    <row x14ac:dyDescent="0.25" r="699" customHeight="1" ht="14.25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</row>
    <row x14ac:dyDescent="0.25" r="700" customHeight="1" ht="14.25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</row>
    <row x14ac:dyDescent="0.25" r="701" customHeight="1" ht="14.25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</row>
    <row x14ac:dyDescent="0.25" r="702" customHeight="1" ht="14.25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</row>
    <row x14ac:dyDescent="0.25" r="703" customHeight="1" ht="14.25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</row>
    <row x14ac:dyDescent="0.25" r="704" customHeight="1" ht="14.25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</row>
    <row x14ac:dyDescent="0.25" r="705" customHeight="1" ht="14.2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</row>
    <row x14ac:dyDescent="0.25" r="706" customHeight="1" ht="14.25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</row>
    <row x14ac:dyDescent="0.25" r="707" customHeight="1" ht="14.25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</row>
    <row x14ac:dyDescent="0.25" r="708" customHeight="1" ht="14.25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</row>
    <row x14ac:dyDescent="0.25" r="709" customHeight="1" ht="14.2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</row>
    <row x14ac:dyDescent="0.25" r="710" customHeight="1" ht="14.25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</row>
    <row x14ac:dyDescent="0.25" r="711" customHeight="1" ht="14.25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</row>
    <row x14ac:dyDescent="0.25" r="712" customHeight="1" ht="14.25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</row>
    <row x14ac:dyDescent="0.25" r="713" customHeight="1" ht="14.25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</row>
    <row x14ac:dyDescent="0.25" r="714" customHeight="1" ht="14.25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</row>
    <row x14ac:dyDescent="0.25" r="715" customHeight="1" ht="14.2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</row>
    <row x14ac:dyDescent="0.25" r="716" customHeight="1" ht="14.25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</row>
    <row x14ac:dyDescent="0.25" r="717" customHeight="1" ht="14.25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</row>
    <row x14ac:dyDescent="0.25" r="718" customHeight="1" ht="14.25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</row>
    <row x14ac:dyDescent="0.25" r="719" customHeight="1" ht="14.25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</row>
    <row x14ac:dyDescent="0.25" r="720" customHeight="1" ht="14.25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</row>
    <row x14ac:dyDescent="0.25" r="721" customHeight="1" ht="14.25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</row>
    <row x14ac:dyDescent="0.25" r="722" customHeight="1" ht="14.25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</row>
    <row x14ac:dyDescent="0.25" r="723" customHeight="1" ht="14.25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</row>
    <row x14ac:dyDescent="0.25" r="724" customHeight="1" ht="14.25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</row>
    <row x14ac:dyDescent="0.25" r="725" customHeight="1" ht="14.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</row>
    <row x14ac:dyDescent="0.25" r="726" customHeight="1" ht="14.25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</row>
    <row x14ac:dyDescent="0.25" r="727" customHeight="1" ht="14.2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</row>
    <row x14ac:dyDescent="0.25" r="728" customHeight="1" ht="14.25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</row>
    <row x14ac:dyDescent="0.25" r="729" customHeight="1" ht="14.25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</row>
    <row x14ac:dyDescent="0.25" r="730" customHeight="1" ht="14.25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</row>
    <row x14ac:dyDescent="0.25" r="731" customHeight="1" ht="14.25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</row>
    <row x14ac:dyDescent="0.25" r="732" customHeight="1" ht="14.25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</row>
    <row x14ac:dyDescent="0.25" r="733" customHeight="1" ht="14.25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</row>
    <row x14ac:dyDescent="0.25" r="734" customHeight="1" ht="14.25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</row>
    <row x14ac:dyDescent="0.25" r="735" customHeight="1" ht="14.2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</row>
    <row x14ac:dyDescent="0.25" r="736" customHeight="1" ht="14.25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</row>
    <row x14ac:dyDescent="0.25" r="737" customHeight="1" ht="14.25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</row>
    <row x14ac:dyDescent="0.25" r="738" customHeight="1" ht="14.25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</row>
    <row x14ac:dyDescent="0.25" r="739" customHeight="1" ht="14.25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</row>
    <row x14ac:dyDescent="0.25" r="740" customHeight="1" ht="14.25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</row>
    <row x14ac:dyDescent="0.25" r="741" customHeight="1" ht="14.25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</row>
    <row x14ac:dyDescent="0.25" r="742" customHeight="1" ht="14.25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</row>
    <row x14ac:dyDescent="0.25" r="743" customHeight="1" ht="14.25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</row>
    <row x14ac:dyDescent="0.25" r="744" customHeight="1" ht="14.25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</row>
    <row x14ac:dyDescent="0.25" r="745" customHeight="1" ht="14.2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</row>
    <row x14ac:dyDescent="0.25" r="746" customHeight="1" ht="14.25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</row>
    <row x14ac:dyDescent="0.25" r="747" customHeight="1" ht="14.25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</row>
    <row x14ac:dyDescent="0.25" r="748" customHeight="1" ht="14.25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</row>
    <row x14ac:dyDescent="0.25" r="749" customHeight="1" ht="14.25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</row>
    <row x14ac:dyDescent="0.25" r="750" customHeight="1" ht="14.25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</row>
    <row x14ac:dyDescent="0.25" r="751" customHeight="1" ht="14.25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</row>
    <row x14ac:dyDescent="0.25" r="752" customHeight="1" ht="14.25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</row>
    <row x14ac:dyDescent="0.25" r="753" customHeight="1" ht="14.25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</row>
    <row x14ac:dyDescent="0.25" r="754" customHeight="1" ht="14.25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</row>
    <row x14ac:dyDescent="0.25" r="755" customHeight="1" ht="14.2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</row>
    <row x14ac:dyDescent="0.25" r="756" customHeight="1" ht="14.25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</row>
    <row x14ac:dyDescent="0.25" r="757" customHeight="1" ht="14.25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</row>
    <row x14ac:dyDescent="0.25" r="758" customHeight="1" ht="14.25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</row>
    <row x14ac:dyDescent="0.25" r="759" customHeight="1" ht="14.25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</row>
    <row x14ac:dyDescent="0.25" r="760" customHeight="1" ht="14.25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</row>
    <row x14ac:dyDescent="0.25" r="761" customHeight="1" ht="14.25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</row>
    <row x14ac:dyDescent="0.25" r="762" customHeight="1" ht="14.25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</row>
    <row x14ac:dyDescent="0.25" r="763" customHeight="1" ht="14.2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</row>
    <row x14ac:dyDescent="0.25" r="764" customHeight="1" ht="14.25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</row>
    <row x14ac:dyDescent="0.25" r="765" customHeight="1" ht="14.2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</row>
    <row x14ac:dyDescent="0.25" r="766" customHeight="1" ht="14.25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</row>
    <row x14ac:dyDescent="0.25" r="767" customHeight="1" ht="14.25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</row>
    <row x14ac:dyDescent="0.25" r="768" customHeight="1" ht="14.25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</row>
    <row x14ac:dyDescent="0.25" r="769" customHeight="1" ht="14.25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</row>
    <row x14ac:dyDescent="0.25" r="770" customHeight="1" ht="14.25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</row>
    <row x14ac:dyDescent="0.25" r="771" customHeight="1" ht="14.25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</row>
    <row x14ac:dyDescent="0.25" r="772" customHeight="1" ht="14.25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</row>
    <row x14ac:dyDescent="0.25" r="773" customHeight="1" ht="14.25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</row>
    <row x14ac:dyDescent="0.25" r="774" customHeight="1" ht="14.25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</row>
    <row x14ac:dyDescent="0.25" r="775" customHeight="1" ht="14.2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</row>
    <row x14ac:dyDescent="0.25" r="776" customHeight="1" ht="14.25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</row>
    <row x14ac:dyDescent="0.25" r="777" customHeight="1" ht="14.25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</row>
    <row x14ac:dyDescent="0.25" r="778" customHeight="1" ht="14.25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</row>
    <row x14ac:dyDescent="0.25" r="779" customHeight="1" ht="14.25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</row>
    <row x14ac:dyDescent="0.25" r="780" customHeight="1" ht="14.25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</row>
    <row x14ac:dyDescent="0.25" r="781" customHeight="1" ht="14.2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</row>
    <row x14ac:dyDescent="0.25" r="782" customHeight="1" ht="14.25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</row>
    <row x14ac:dyDescent="0.25" r="783" customHeight="1" ht="14.25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</row>
    <row x14ac:dyDescent="0.25" r="784" customHeight="1" ht="14.25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</row>
    <row x14ac:dyDescent="0.25" r="785" customHeight="1" ht="14.2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</row>
    <row x14ac:dyDescent="0.25" r="786" customHeight="1" ht="14.25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</row>
    <row x14ac:dyDescent="0.25" r="787" customHeight="1" ht="14.25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</row>
    <row x14ac:dyDescent="0.25" r="788" customHeight="1" ht="14.25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</row>
    <row x14ac:dyDescent="0.25" r="789" customHeight="1" ht="14.25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</row>
    <row x14ac:dyDescent="0.25" r="790" customHeight="1" ht="14.25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</row>
    <row x14ac:dyDescent="0.25" r="791" customHeight="1" ht="14.25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</row>
    <row x14ac:dyDescent="0.25" r="792" customHeight="1" ht="14.25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</row>
    <row x14ac:dyDescent="0.25" r="793" customHeight="1" ht="14.25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</row>
    <row x14ac:dyDescent="0.25" r="794" customHeight="1" ht="14.25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</row>
    <row x14ac:dyDescent="0.25" r="795" customHeight="1" ht="14.2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</row>
    <row x14ac:dyDescent="0.25" r="796" customHeight="1" ht="14.25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</row>
    <row x14ac:dyDescent="0.25" r="797" customHeight="1" ht="14.25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</row>
    <row x14ac:dyDescent="0.25" r="798" customHeight="1" ht="14.25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</row>
    <row x14ac:dyDescent="0.25" r="799" customHeight="1" ht="14.2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</row>
    <row x14ac:dyDescent="0.25" r="800" customHeight="1" ht="14.25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</row>
    <row x14ac:dyDescent="0.25" r="801" customHeight="1" ht="14.25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</row>
    <row x14ac:dyDescent="0.25" r="802" customHeight="1" ht="14.25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</row>
    <row x14ac:dyDescent="0.25" r="803" customHeight="1" ht="14.25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</row>
    <row x14ac:dyDescent="0.25" r="804" customHeight="1" ht="14.25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</row>
    <row x14ac:dyDescent="0.25" r="805" customHeight="1" ht="14.2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</row>
    <row x14ac:dyDescent="0.25" r="806" customHeight="1" ht="14.25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</row>
    <row x14ac:dyDescent="0.25" r="807" customHeight="1" ht="14.25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</row>
    <row x14ac:dyDescent="0.25" r="808" customHeight="1" ht="14.25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</row>
    <row x14ac:dyDescent="0.25" r="809" customHeight="1" ht="14.25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</row>
    <row x14ac:dyDescent="0.25" r="810" customHeight="1" ht="14.25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</row>
    <row x14ac:dyDescent="0.25" r="811" customHeight="1" ht="14.25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</row>
    <row x14ac:dyDescent="0.25" r="812" customHeight="1" ht="14.25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</row>
    <row x14ac:dyDescent="0.25" r="813" customHeight="1" ht="14.25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</row>
    <row x14ac:dyDescent="0.25" r="814" customHeight="1" ht="14.25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</row>
    <row x14ac:dyDescent="0.25" r="815" customHeight="1" ht="14.2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</row>
    <row x14ac:dyDescent="0.25" r="816" customHeight="1" ht="14.25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</row>
    <row x14ac:dyDescent="0.25" r="817" customHeight="1" ht="14.2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</row>
    <row x14ac:dyDescent="0.25" r="818" customHeight="1" ht="14.25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</row>
    <row x14ac:dyDescent="0.25" r="819" customHeight="1" ht="14.25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</row>
    <row x14ac:dyDescent="0.25" r="820" customHeight="1" ht="14.25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</row>
    <row x14ac:dyDescent="0.25" r="821" customHeight="1" ht="14.25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</row>
    <row x14ac:dyDescent="0.25" r="822" customHeight="1" ht="14.25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</row>
    <row x14ac:dyDescent="0.25" r="823" customHeight="1" ht="14.25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</row>
    <row x14ac:dyDescent="0.25" r="824" customHeight="1" ht="14.25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</row>
    <row x14ac:dyDescent="0.25" r="825" customHeight="1" ht="14.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</row>
    <row x14ac:dyDescent="0.25" r="826" customHeight="1" ht="14.25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</row>
    <row x14ac:dyDescent="0.25" r="827" customHeight="1" ht="14.25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</row>
    <row x14ac:dyDescent="0.25" r="828" customHeight="1" ht="14.25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</row>
    <row x14ac:dyDescent="0.25" r="829" customHeight="1" ht="14.25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</row>
    <row x14ac:dyDescent="0.25" r="830" customHeight="1" ht="14.25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</row>
    <row x14ac:dyDescent="0.25" r="831" customHeight="1" ht="14.25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</row>
    <row x14ac:dyDescent="0.25" r="832" customHeight="1" ht="14.25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</row>
    <row x14ac:dyDescent="0.25" r="833" customHeight="1" ht="14.25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</row>
    <row x14ac:dyDescent="0.25" r="834" customHeight="1" ht="14.25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</row>
    <row x14ac:dyDescent="0.25" r="835" customHeight="1" ht="14.2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</row>
    <row x14ac:dyDescent="0.25" r="836" customHeight="1" ht="14.25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</row>
    <row x14ac:dyDescent="0.25" r="837" customHeight="1" ht="14.25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</row>
    <row x14ac:dyDescent="0.25" r="838" customHeight="1" ht="14.25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</row>
    <row x14ac:dyDescent="0.25" r="839" customHeight="1" ht="14.25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</row>
    <row x14ac:dyDescent="0.25" r="840" customHeight="1" ht="14.25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</row>
    <row x14ac:dyDescent="0.25" r="841" customHeight="1" ht="14.25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</row>
    <row x14ac:dyDescent="0.25" r="842" customHeight="1" ht="14.25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</row>
    <row x14ac:dyDescent="0.25" r="843" customHeight="1" ht="14.25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</row>
    <row x14ac:dyDescent="0.25" r="844" customHeight="1" ht="14.25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</row>
    <row x14ac:dyDescent="0.25" r="845" customHeight="1" ht="14.2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</row>
    <row x14ac:dyDescent="0.25" r="846" customHeight="1" ht="14.25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</row>
    <row x14ac:dyDescent="0.25" r="847" customHeight="1" ht="14.25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</row>
    <row x14ac:dyDescent="0.25" r="848" customHeight="1" ht="14.25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</row>
    <row x14ac:dyDescent="0.25" r="849" customHeight="1" ht="14.25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</row>
    <row x14ac:dyDescent="0.25" r="850" customHeight="1" ht="14.25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</row>
    <row x14ac:dyDescent="0.25" r="851" customHeight="1" ht="14.25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</row>
    <row x14ac:dyDescent="0.25" r="852" customHeight="1" ht="14.25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</row>
    <row x14ac:dyDescent="0.25" r="853" customHeight="1" ht="14.2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</row>
    <row x14ac:dyDescent="0.25" r="854" customHeight="1" ht="14.25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</row>
    <row x14ac:dyDescent="0.25" r="855" customHeight="1" ht="14.2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</row>
    <row x14ac:dyDescent="0.25" r="856" customHeight="1" ht="14.25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</row>
    <row x14ac:dyDescent="0.25" r="857" customHeight="1" ht="14.25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</row>
    <row x14ac:dyDescent="0.25" r="858" customHeight="1" ht="14.25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</row>
    <row x14ac:dyDescent="0.25" r="859" customHeight="1" ht="14.25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</row>
    <row x14ac:dyDescent="0.25" r="860" customHeight="1" ht="14.25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</row>
    <row x14ac:dyDescent="0.25" r="861" customHeight="1" ht="14.25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</row>
    <row x14ac:dyDescent="0.25" r="862" customHeight="1" ht="14.25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</row>
    <row x14ac:dyDescent="0.25" r="863" customHeight="1" ht="14.25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</row>
    <row x14ac:dyDescent="0.25" r="864" customHeight="1" ht="14.25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</row>
    <row x14ac:dyDescent="0.25" r="865" customHeight="1" ht="14.2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</row>
    <row x14ac:dyDescent="0.25" r="866" customHeight="1" ht="14.25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</row>
    <row x14ac:dyDescent="0.25" r="867" customHeight="1" ht="14.25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</row>
    <row x14ac:dyDescent="0.25" r="868" customHeight="1" ht="14.25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</row>
    <row x14ac:dyDescent="0.25" r="869" customHeight="1" ht="14.25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</row>
    <row x14ac:dyDescent="0.25" r="870" customHeight="1" ht="14.25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</row>
    <row x14ac:dyDescent="0.25" r="871" customHeight="1" ht="14.2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</row>
    <row x14ac:dyDescent="0.25" r="872" customHeight="1" ht="14.25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</row>
    <row x14ac:dyDescent="0.25" r="873" customHeight="1" ht="14.25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</row>
    <row x14ac:dyDescent="0.25" r="874" customHeight="1" ht="14.25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</row>
    <row x14ac:dyDescent="0.25" r="875" customHeight="1" ht="14.2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</row>
    <row x14ac:dyDescent="0.25" r="876" customHeight="1" ht="14.25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</row>
    <row x14ac:dyDescent="0.25" r="877" customHeight="1" ht="14.25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</row>
    <row x14ac:dyDescent="0.25" r="878" customHeight="1" ht="14.25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</row>
    <row x14ac:dyDescent="0.25" r="879" customHeight="1" ht="14.25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</row>
    <row x14ac:dyDescent="0.25" r="880" customHeight="1" ht="14.25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</row>
    <row x14ac:dyDescent="0.25" r="881" customHeight="1" ht="14.25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</row>
    <row x14ac:dyDescent="0.25" r="882" customHeight="1" ht="14.25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</row>
    <row x14ac:dyDescent="0.25" r="883" customHeight="1" ht="14.25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</row>
    <row x14ac:dyDescent="0.25" r="884" customHeight="1" ht="14.25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</row>
    <row x14ac:dyDescent="0.25" r="885" customHeight="1" ht="14.2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</row>
    <row x14ac:dyDescent="0.25" r="886" customHeight="1" ht="14.25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</row>
    <row x14ac:dyDescent="0.25" r="887" customHeight="1" ht="14.25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</row>
    <row x14ac:dyDescent="0.25" r="888" customHeight="1" ht="14.25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</row>
    <row x14ac:dyDescent="0.25" r="889" customHeight="1" ht="14.2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</row>
    <row x14ac:dyDescent="0.25" r="890" customHeight="1" ht="14.25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</row>
    <row x14ac:dyDescent="0.25" r="891" customHeight="1" ht="14.25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</row>
    <row x14ac:dyDescent="0.25" r="892" customHeight="1" ht="14.25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</row>
    <row x14ac:dyDescent="0.25" r="893" customHeight="1" ht="14.25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</row>
    <row x14ac:dyDescent="0.25" r="894" customHeight="1" ht="14.25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</row>
    <row x14ac:dyDescent="0.25" r="895" customHeight="1" ht="14.2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</row>
    <row x14ac:dyDescent="0.25" r="896" customHeight="1" ht="14.25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</row>
    <row x14ac:dyDescent="0.25" r="897" customHeight="1" ht="14.25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</row>
    <row x14ac:dyDescent="0.25" r="898" customHeight="1" ht="14.25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</row>
    <row x14ac:dyDescent="0.25" r="899" customHeight="1" ht="14.25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</row>
    <row x14ac:dyDescent="0.25" r="900" customHeight="1" ht="14.25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</row>
    <row x14ac:dyDescent="0.25" r="901" customHeight="1" ht="14.25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</row>
    <row x14ac:dyDescent="0.25" r="902" customHeight="1" ht="14.25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</row>
    <row x14ac:dyDescent="0.25" r="903" customHeight="1" ht="14.25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</row>
    <row x14ac:dyDescent="0.25" r="904" customHeight="1" ht="14.25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</row>
    <row x14ac:dyDescent="0.25" r="905" customHeight="1" ht="14.2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</row>
    <row x14ac:dyDescent="0.25" r="906" customHeight="1" ht="14.25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</row>
    <row x14ac:dyDescent="0.25" r="907" customHeight="1" ht="14.2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</row>
    <row x14ac:dyDescent="0.25" r="908" customHeight="1" ht="14.25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</row>
    <row x14ac:dyDescent="0.25" r="909" customHeight="1" ht="14.25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</row>
    <row x14ac:dyDescent="0.25" r="910" customHeight="1" ht="14.25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</row>
    <row x14ac:dyDescent="0.25" r="911" customHeight="1" ht="14.25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</row>
    <row x14ac:dyDescent="0.25" r="912" customHeight="1" ht="14.25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</row>
    <row x14ac:dyDescent="0.25" r="913" customHeight="1" ht="14.25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</row>
    <row x14ac:dyDescent="0.25" r="914" customHeight="1" ht="14.25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</row>
    <row x14ac:dyDescent="0.25" r="915" customHeight="1" ht="14.2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</row>
    <row x14ac:dyDescent="0.25" r="916" customHeight="1" ht="14.25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</row>
    <row x14ac:dyDescent="0.25" r="917" customHeight="1" ht="14.25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</row>
    <row x14ac:dyDescent="0.25" r="918" customHeight="1" ht="14.25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</row>
    <row x14ac:dyDescent="0.25" r="919" customHeight="1" ht="14.25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</row>
    <row x14ac:dyDescent="0.25" r="920" customHeight="1" ht="14.25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</row>
    <row x14ac:dyDescent="0.25" r="921" customHeight="1" ht="14.25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</row>
    <row x14ac:dyDescent="0.25" r="922" customHeight="1" ht="14.25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</row>
    <row x14ac:dyDescent="0.25" r="923" customHeight="1" ht="14.25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</row>
    <row x14ac:dyDescent="0.25" r="924" customHeight="1" ht="14.25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</row>
    <row x14ac:dyDescent="0.25" r="925" customHeight="1" ht="14.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</row>
    <row x14ac:dyDescent="0.25" r="926" customHeight="1" ht="14.25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</row>
    <row x14ac:dyDescent="0.25" r="927" customHeight="1" ht="14.25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</row>
    <row x14ac:dyDescent="0.25" r="928" customHeight="1" ht="14.25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</row>
    <row x14ac:dyDescent="0.25" r="929" customHeight="1" ht="14.25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</row>
    <row x14ac:dyDescent="0.25" r="930" customHeight="1" ht="14.25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</row>
    <row x14ac:dyDescent="0.25" r="931" customHeight="1" ht="14.25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</row>
    <row x14ac:dyDescent="0.25" r="932" customHeight="1" ht="14.25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</row>
    <row x14ac:dyDescent="0.25" r="933" customHeight="1" ht="14.25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</row>
    <row x14ac:dyDescent="0.25" r="934" customHeight="1" ht="14.25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</row>
    <row x14ac:dyDescent="0.25" r="935" customHeight="1" ht="14.2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</row>
    <row x14ac:dyDescent="0.25" r="936" customHeight="1" ht="14.25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</row>
    <row x14ac:dyDescent="0.25" r="937" customHeight="1" ht="14.25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</row>
    <row x14ac:dyDescent="0.25" r="938" customHeight="1" ht="14.25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</row>
    <row x14ac:dyDescent="0.25" r="939" customHeight="1" ht="14.25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</row>
    <row x14ac:dyDescent="0.25" r="940" customHeight="1" ht="14.25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</row>
    <row x14ac:dyDescent="0.25" r="941" customHeight="1" ht="14.25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</row>
    <row x14ac:dyDescent="0.25" r="942" customHeight="1" ht="14.25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</row>
    <row x14ac:dyDescent="0.25" r="943" customHeight="1" ht="14.2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</row>
    <row x14ac:dyDescent="0.25" r="944" customHeight="1" ht="14.25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</row>
    <row x14ac:dyDescent="0.25" r="945" customHeight="1" ht="14.2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</row>
    <row x14ac:dyDescent="0.25" r="946" customHeight="1" ht="14.25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</row>
    <row x14ac:dyDescent="0.25" r="947" customHeight="1" ht="14.25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</row>
    <row x14ac:dyDescent="0.25" r="948" customHeight="1" ht="14.25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</row>
    <row x14ac:dyDescent="0.25" r="949" customHeight="1" ht="14.25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</row>
    <row x14ac:dyDescent="0.25" r="950" customHeight="1" ht="14.25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</row>
    <row x14ac:dyDescent="0.25" r="951" customHeight="1" ht="14.25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</row>
    <row x14ac:dyDescent="0.25" r="952" customHeight="1" ht="14.25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</row>
    <row x14ac:dyDescent="0.25" r="953" customHeight="1" ht="14.25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</row>
    <row x14ac:dyDescent="0.25" r="954" customHeight="1" ht="14.25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</row>
    <row x14ac:dyDescent="0.25" r="955" customHeight="1" ht="14.2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</row>
    <row x14ac:dyDescent="0.25" r="956" customHeight="1" ht="14.25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</row>
    <row x14ac:dyDescent="0.25" r="957" customHeight="1" ht="14.25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</row>
    <row x14ac:dyDescent="0.25" r="958" customHeight="1" ht="14.25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</row>
    <row x14ac:dyDescent="0.25" r="959" customHeight="1" ht="14.25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</row>
    <row x14ac:dyDescent="0.25" r="960" customHeight="1" ht="14.25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</row>
    <row x14ac:dyDescent="0.25" r="961" customHeight="1" ht="14.2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</row>
    <row x14ac:dyDescent="0.25" r="962" customHeight="1" ht="14.25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</row>
    <row x14ac:dyDescent="0.25" r="963" customHeight="1" ht="14.25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</row>
    <row x14ac:dyDescent="0.25" r="964" customHeight="1" ht="14.25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</row>
    <row x14ac:dyDescent="0.25" r="965" customHeight="1" ht="14.2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</row>
    <row x14ac:dyDescent="0.25" r="966" customHeight="1" ht="14.25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</row>
    <row x14ac:dyDescent="0.25" r="967" customHeight="1" ht="14.25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</row>
    <row x14ac:dyDescent="0.25" r="968" customHeight="1" ht="14.25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</row>
    <row x14ac:dyDescent="0.25" r="969" customHeight="1" ht="14.25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</row>
    <row x14ac:dyDescent="0.25" r="970" customHeight="1" ht="14.25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</row>
    <row x14ac:dyDescent="0.25" r="971" customHeight="1" ht="14.25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</row>
    <row x14ac:dyDescent="0.25" r="972" customHeight="1" ht="14.25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</row>
    <row x14ac:dyDescent="0.25" r="973" customHeight="1" ht="14.25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</row>
    <row x14ac:dyDescent="0.25" r="974" customHeight="1" ht="14.25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</row>
    <row x14ac:dyDescent="0.25" r="975" customHeight="1" ht="14.2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</row>
    <row x14ac:dyDescent="0.25" r="976" customHeight="1" ht="14.25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</row>
    <row x14ac:dyDescent="0.25" r="977" customHeight="1" ht="14.25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</row>
    <row x14ac:dyDescent="0.25" r="978" customHeight="1" ht="14.25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</row>
    <row x14ac:dyDescent="0.25" r="979" customHeight="1" ht="14.2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</row>
    <row x14ac:dyDescent="0.25" r="980" customHeight="1" ht="14.25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</row>
    <row x14ac:dyDescent="0.25" r="981" customHeight="1" ht="14.25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</row>
    <row x14ac:dyDescent="0.25" r="982" customHeight="1" ht="14.25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</row>
    <row x14ac:dyDescent="0.25" r="983" customHeight="1" ht="14.25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</row>
    <row x14ac:dyDescent="0.25" r="984" customHeight="1" ht="14.25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</row>
    <row x14ac:dyDescent="0.25" r="985" customHeight="1" ht="14.2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</row>
    <row x14ac:dyDescent="0.25" r="986" customHeight="1" ht="14.25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</row>
    <row x14ac:dyDescent="0.25" r="987" customHeight="1" ht="14.25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</row>
    <row x14ac:dyDescent="0.25" r="988" customHeight="1" ht="14.25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</row>
    <row x14ac:dyDescent="0.25" r="989" customHeight="1" ht="14.25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</row>
    <row x14ac:dyDescent="0.25" r="990" customHeight="1" ht="14.25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</row>
    <row x14ac:dyDescent="0.25" r="991" customHeight="1" ht="14.25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</row>
    <row x14ac:dyDescent="0.25" r="992" customHeight="1" ht="14.25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</row>
    <row x14ac:dyDescent="0.25" r="993" customHeight="1" ht="14.25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</row>
    <row x14ac:dyDescent="0.25" r="994" customHeight="1" ht="14.25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</row>
    <row x14ac:dyDescent="0.25" r="995" customHeight="1" ht="14.2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</row>
    <row x14ac:dyDescent="0.25" r="996" customHeight="1" ht="14.25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</row>
    <row x14ac:dyDescent="0.25" r="997" customHeight="1" ht="14.2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</row>
    <row x14ac:dyDescent="0.25" r="998" customHeight="1" ht="14.25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</row>
    <row x14ac:dyDescent="0.25" r="999" customHeight="1" ht="14.25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</row>
    <row x14ac:dyDescent="0.25" r="1000" customHeight="1" ht="14.25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</row>
  </sheetData>
  <mergeCells count="4">
    <mergeCell ref="A1:N1"/>
    <mergeCell ref="A2:N2"/>
    <mergeCell ref="A3:N3"/>
    <mergeCell ref="A59:N5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Balance Sheet</vt:lpstr>
      <vt:lpstr>Profit and Loss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2026-03-30T13:25:41.051Z</dcterms:created>
  <dcterms:modified xsi:type="dcterms:W3CDTF">2026-03-30T13:25:41.051Z</dcterms:modified>
</cp:coreProperties>
</file>