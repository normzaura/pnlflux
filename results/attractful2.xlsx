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8583\Downloads\"/>
    </mc:Choice>
  </mc:AlternateContent>
  <bookViews>
    <workbookView xWindow="-108" yWindow="-108" windowWidth="23256" windowHeight="12456" activeTab="1"/>
  </bookViews>
  <sheets>
    <sheet name="Balance Sheet" sheetId="1"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 l="true"/>
  <c r="B12" i="1" s="true"/>
  <c r="B18" i="1" s="true"/>
  <c r="C11" i="1"/>
  <c r="C12" i="1" s="true"/>
  <c r="C18" i="1" s="true"/>
  <c r="D11" i="1"/>
  <c r="D12" i="1" s="true"/>
  <c r="D18" i="1" s="true"/>
  <c r="E11" i="1"/>
  <c r="E12" i="1" s="true"/>
  <c r="E18" i="1" s="true"/>
  <c r="F11" i="1"/>
  <c r="F12" i="1" s="true"/>
  <c r="F18" i="1" s="true"/>
  <c r="G11" i="1"/>
  <c r="G12" i="1" s="true"/>
  <c r="G18" i="1" s="true"/>
  <c r="H11" i="1"/>
  <c r="I11" i="1"/>
  <c r="J11" i="1"/>
  <c r="K11" i="1"/>
  <c r="L11" i="1"/>
  <c r="M11" i="1"/>
  <c r="H12" i="1"/>
  <c r="I12" i="1"/>
  <c r="J12" i="1"/>
  <c r="K12" i="1"/>
  <c r="L12" i="1"/>
  <c r="L18" i="1" s="true"/>
  <c r="M12" i="1"/>
  <c r="M18" i="1" s="true"/>
  <c r="B17" i="1"/>
  <c r="C17" i="1"/>
  <c r="D17" i="1"/>
  <c r="E17" i="1"/>
  <c r="F17" i="1"/>
  <c r="G17" i="1"/>
  <c r="H17" i="1"/>
  <c r="I17" i="1"/>
  <c r="J17" i="1"/>
  <c r="K17" i="1"/>
  <c r="L17" i="1"/>
  <c r="M17" i="1"/>
  <c r="H18" i="1"/>
  <c r="I18" i="1"/>
  <c r="J18" i="1"/>
  <c r="K18" i="1"/>
  <c r="B25" i="1"/>
  <c r="C25" i="1"/>
  <c r="D25" i="1"/>
  <c r="D32" i="1" s="true"/>
  <c r="D36" i="1" s="true"/>
  <c r="D42" i="1" s="true"/>
  <c r="E25" i="1"/>
  <c r="E32" i="1" s="true"/>
  <c r="E36" i="1" s="true"/>
  <c r="E42" i="1" s="true"/>
  <c r="F25" i="1"/>
  <c r="F32" i="1" s="true"/>
  <c r="F36" i="1" s="true"/>
  <c r="F42" i="1" s="true"/>
  <c r="G25" i="1"/>
  <c r="G32" i="1" s="true"/>
  <c r="G36" i="1" s="true"/>
  <c r="G42" i="1" s="true"/>
  <c r="H25" i="1"/>
  <c r="H32" i="1" s="true"/>
  <c r="H36" i="1" s="true"/>
  <c r="H42" i="1" s="true"/>
  <c r="I25" i="1"/>
  <c r="I32" i="1" s="true"/>
  <c r="I36" i="1" s="true"/>
  <c r="I42" i="1" s="true"/>
  <c r="J25" i="1"/>
  <c r="J32" i="1" s="true"/>
  <c r="J36" i="1" s="true"/>
  <c r="J42" i="1" s="true"/>
  <c r="K25" i="1"/>
  <c r="K32" i="1" s="true"/>
  <c r="K36" i="1" s="true"/>
  <c r="K42" i="1" s="true"/>
  <c r="L25" i="1"/>
  <c r="L32" i="1" s="true"/>
  <c r="L36" i="1" s="true"/>
  <c r="L42" i="1" s="true"/>
  <c r="M25" i="1"/>
  <c r="M32" i="1" s="true"/>
  <c r="M36" i="1" s="true"/>
  <c r="M42" i="1" s="true"/>
  <c r="B29" i="1"/>
  <c r="B31" i="1" s="true"/>
  <c r="B32" i="1" s="true"/>
  <c r="B36" i="1" s="true"/>
  <c r="B42" i="1" s="true"/>
  <c r="C29" i="1"/>
  <c r="C31" i="1" s="true"/>
  <c r="C32" i="1" s="true"/>
  <c r="C36" i="1" s="true"/>
  <c r="C42" i="1" s="true"/>
  <c r="D29" i="1"/>
  <c r="D31" i="1" s="true"/>
  <c r="E29" i="1"/>
  <c r="E31" i="1" s="true"/>
  <c r="F29" i="1"/>
  <c r="F31" i="1" s="true"/>
  <c r="G29" i="1"/>
  <c r="G31" i="1" s="true"/>
  <c r="H29" i="1"/>
  <c r="I29" i="1"/>
  <c r="J29" i="1"/>
  <c r="K29" i="1"/>
  <c r="L29" i="1"/>
  <c r="M29" i="1"/>
  <c r="H31" i="1"/>
  <c r="I31" i="1"/>
  <c r="J31" i="1"/>
  <c r="K31" i="1"/>
  <c r="L31" i="1"/>
  <c r="M31" i="1"/>
  <c r="B35" i="1"/>
  <c r="C35" i="1"/>
  <c r="D35" i="1"/>
  <c r="E35" i="1"/>
  <c r="F35" i="1"/>
  <c r="G35" i="1"/>
  <c r="H35" i="1"/>
  <c r="I35" i="1"/>
  <c r="J35" i="1"/>
  <c r="K35" i="1"/>
  <c r="L35" i="1"/>
  <c r="M35" i="1"/>
  <c r="B41" i="1"/>
  <c r="C41" i="1"/>
  <c r="D41" i="1"/>
  <c r="E41" i="1"/>
  <c r="F41" i="1"/>
  <c r="G41" i="1"/>
  <c r="H41" i="1"/>
  <c r="I41" i="1"/>
  <c r="J41" i="1"/>
  <c r="K41" i="1"/>
  <c r="L41" i="1"/>
  <c r="M41" i="1"/>
</calcChain>
</file>

<file path=xl/sharedStrings.xml><?xml version="1.0" encoding="utf-8"?>
<sst xmlns="http://schemas.openxmlformats.org/spreadsheetml/2006/main" count="144" uniqueCount="129">
  <si>
    <t>May 2025</t>
  </si>
  <si>
    <t>Attractful LLC</t>
  </si>
  <si>
    <t>Balance Sheet</t>
  </si>
  <si>
    <t>Profit and Loss</t>
  </si>
  <si>
    <t>Total</t>
  </si>
  <si>
    <t>Income</t>
  </si>
  <si>
    <t>Cost of Goods Sold</t>
  </si>
  <si>
    <t>Gross Profit</t>
  </si>
  <si>
    <t>Expenses</t>
  </si>
  <si>
    <t>Net Operating Income</t>
  </si>
  <si>
    <t>Other Income</t>
  </si>
  <si>
    <t>Other Expenses</t>
  </si>
  <si>
    <t>Net Other Income</t>
  </si>
  <si>
    <t>Net Income</t>
  </si>
  <si>
    <t>Distribution account</t>
  </si>
  <si>
    <t>February 2025</t>
  </si>
  <si>
    <t>March 2025</t>
  </si>
  <si>
    <t>April 2025</t>
  </si>
  <si>
    <t>June 2025</t>
  </si>
  <si>
    <t>July 2025</t>
  </si>
  <si>
    <t>August 2025</t>
  </si>
  <si>
    <t>September 2025</t>
  </si>
  <si>
    <t>October 2025</t>
  </si>
  <si>
    <t>November 2025</t>
  </si>
  <si>
    <t>December 2025</t>
  </si>
  <si>
    <t>Assets</t>
  </si>
  <si>
    <t>Current Assets</t>
  </si>
  <si>
    <t>Bank Accounts</t>
  </si>
  <si>
    <t>1001 Wells Fargo Checking - 4638</t>
  </si>
  <si>
    <t>Wells Fargo - Biz Checking</t>
  </si>
  <si>
    <t>Total for Bank Accounts</t>
  </si>
  <si>
    <t>Total for Current Assets</t>
  </si>
  <si>
    <t>Fixed Assets</t>
  </si>
  <si>
    <t>1303 Furniture &amp; Fixtures</t>
  </si>
  <si>
    <t>1304 Office Equipment</t>
  </si>
  <si>
    <t>1499 Accumulated Depreciation</t>
  </si>
  <si>
    <t>Total for Fixed Assets</t>
  </si>
  <si>
    <t>Total for Assets</t>
  </si>
  <si>
    <t>Liabilities and Equity</t>
  </si>
  <si>
    <t>Liabilities</t>
  </si>
  <si>
    <t>Current Liabilities</t>
  </si>
  <si>
    <t>Credit Cards</t>
  </si>
  <si>
    <t>2101 AMEX Green CC - 2005</t>
  </si>
  <si>
    <t>2102 AMEX Platinum CC - 3001</t>
  </si>
  <si>
    <t>Total for Credit Cards</t>
  </si>
  <si>
    <t>Other Current Liabilities</t>
  </si>
  <si>
    <t>2201 Payroll Liabilities</t>
  </si>
  <si>
    <t>2207 Federal Unemployment (940)</t>
  </si>
  <si>
    <t>Total for 2201 Payroll Liabilities</t>
  </si>
  <si>
    <t>2401 Shareholder Benefits Payable</t>
  </si>
  <si>
    <t>Total for Other Current Liabilities</t>
  </si>
  <si>
    <t>Total for Current Liabilities</t>
  </si>
  <si>
    <t>Long-term Liabilities</t>
  </si>
  <si>
    <t>2501 SBA Loan Payable</t>
  </si>
  <si>
    <t>Total for Long-term Liabilities</t>
  </si>
  <si>
    <t>Total for Liabilities</t>
  </si>
  <si>
    <t>Equity</t>
  </si>
  <si>
    <t>3100 Owner's Distribution</t>
  </si>
  <si>
    <t>3900 Retained Earnings</t>
  </si>
  <si>
    <t>Total for Equity</t>
  </si>
  <si>
    <t>Total for Liabilities and Equity</t>
  </si>
  <si>
    <t>4001 Marketing Retainer</t>
  </si>
  <si>
    <t>4002 Event Services</t>
  </si>
  <si>
    <t>4003 Podcast Services</t>
  </si>
  <si>
    <t>4004 Referral Revenue</t>
  </si>
  <si>
    <t>4005 Reimbursable Revenue</t>
  </si>
  <si>
    <t>4006 Project Revenue</t>
  </si>
  <si>
    <t>Total for Income</t>
  </si>
  <si>
    <t>5005 Reimbursable COGS</t>
  </si>
  <si>
    <t>Total for Cost of Goods Sold</t>
  </si>
  <si>
    <t>6000 Advertising &amp; Marketing</t>
  </si>
  <si>
    <t>6050 Bank Fees &amp; CC Charges</t>
  </si>
  <si>
    <t>6075 Client Gifts</t>
  </si>
  <si>
    <t>6100 Continuing Education</t>
  </si>
  <si>
    <t>6150 Contractor/ G&amp;A Outside Services</t>
  </si>
  <si>
    <t>6200 Office &amp; Other Admin Expenses</t>
  </si>
  <si>
    <t>6201 Dues &amp; Subscription</t>
  </si>
  <si>
    <t>6202 Office Expenses</t>
  </si>
  <si>
    <t>6203 Phone/Internet</t>
  </si>
  <si>
    <t>6204 Postage &amp; Shipping</t>
  </si>
  <si>
    <t>6206 Software &amp; Apps</t>
  </si>
  <si>
    <t>Total for 6200 Office &amp; Other Admin Expenses</t>
  </si>
  <si>
    <t>6250 Meals</t>
  </si>
  <si>
    <t>6275 Business Insurance</t>
  </si>
  <si>
    <t>6350 Payroll Expenses</t>
  </si>
  <si>
    <t>6353 Taxes</t>
  </si>
  <si>
    <t>Total for 6350 Payroll Expenses</t>
  </si>
  <si>
    <t>6500 Legal &amp; Professional Services</t>
  </si>
  <si>
    <t>6501 Accounting Fees</t>
  </si>
  <si>
    <t>6502 Consulting Fees</t>
  </si>
  <si>
    <t>6503 Legal Fees</t>
  </si>
  <si>
    <t>Total for 6500 Legal &amp; Professional Services</t>
  </si>
  <si>
    <t>6600 QuickBooks Payments Fees</t>
  </si>
  <si>
    <t>6650 Rent</t>
  </si>
  <si>
    <t>6750 Travel Expenses</t>
  </si>
  <si>
    <t>6751 Airfare</t>
  </si>
  <si>
    <t>6752 Hotel &amp; Accommodation</t>
  </si>
  <si>
    <t>6753 Transportation</t>
  </si>
  <si>
    <t>Total for 6750 Travel Expenses</t>
  </si>
  <si>
    <t>6800 Vehicle Expenses</t>
  </si>
  <si>
    <t>6801 Gas &amp; Fuel</t>
  </si>
  <si>
    <t>6804 Lease Expense</t>
  </si>
  <si>
    <t>6805 Parking &amp; Tolls</t>
  </si>
  <si>
    <t>6806 Repairs &amp; Maintainence</t>
  </si>
  <si>
    <t>Total for 6800 Vehicle Expenses</t>
  </si>
  <si>
    <t>Total for Expenses</t>
  </si>
  <si>
    <t>7001 Misc Income</t>
  </si>
  <si>
    <t>Total for Other Income</t>
  </si>
  <si>
    <t>8002 Charitable Contributions</t>
  </si>
  <si>
    <t>8003 Interest Expense</t>
  </si>
  <si>
    <t>8004 Pass - Through Entity Tax</t>
  </si>
  <si>
    <t>Total for Other Expenses</t>
  </si>
  <si>
    <t>4010 Discounts Given</t>
  </si>
  <si>
    <t>6351 Officer Wages</t>
  </si>
  <si>
    <t>As of January 31, 2026</t>
  </si>
  <si>
    <t>January 2026</t>
  </si>
  <si>
    <t>Reconciled as of 01/31/2026</t>
  </si>
  <si>
    <t>Reconciled as of 01/20/2026
Reviewed and recorded all transactions for Jan</t>
  </si>
  <si>
    <t>Reconciled as of 01/19/2026
Reviewed and recorded all transactions for Jan</t>
  </si>
  <si>
    <t>Balance zeroed out on Jan 2026</t>
  </si>
  <si>
    <t>February 1, 2025-January 31, 2026</t>
  </si>
  <si>
    <t>6355 Payroll Fees</t>
  </si>
  <si>
    <t>6700 Taxes &amp; Licenses</t>
  </si>
  <si>
    <t>Cash Basis Thursday, February 19, 2026 04:24 AM GMTZ</t>
  </si>
  <si>
    <t>5001 Direct Labor - Wages</t>
  </si>
  <si>
    <t>5002 Direct Labor - Taxes</t>
  </si>
  <si>
    <t>5003 Contractor COGS</t>
  </si>
  <si>
    <t>5004 Software &amp; App COGS</t>
  </si>
  <si>
    <t>Cash Basis Friday, February 20, 2026 02:27 AM GMTZ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</si>
</sst>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10">
    <font>
      <name val="Aptos Narrow"/>
      <family val="2"/>
      <color indexed="8"/>
      <sz val="11"/>
      <scheme val="minor"/>
    </font>
    <font>
      <name val="Arial"/>
      <family val="2"/>
      <b val="1"/>
      <color theme="1"/>
      <sz val="14"/>
    </font>
    <font>
      <name val="Arial"/>
      <family val="2"/>
      <b val="1"/>
      <color theme="1"/>
      <sz val="12"/>
    </font>
    <font>
      <name val="Arial"/>
      <family val="2"/>
      <b val="1"/>
      <color theme="1"/>
      <sz val="10"/>
    </font>
    <font>
      <name val="Aptos Narrow"/>
      <family val="2"/>
      <b val="1"/>
      <color theme="1"/>
      <sz val="12"/>
      <scheme val="minor"/>
    </font>
    <font>
      <name val="Arial"/>
      <family val="2"/>
      <b val="1"/>
      <color theme="1"/>
      <sz val="9"/>
    </font>
    <font>
      <name val="Arial"/>
      <family val="2"/>
      <color theme="1"/>
      <sz val="8"/>
    </font>
    <font>
      <name val="Arial"/>
      <family val="2"/>
      <b val="1"/>
      <color theme="1"/>
      <sz val="8"/>
    </font>
    <font>
      <name val="Aptos Narrow"/>
      <family val="2"/>
      <i val="1"/>
      <color rgb="FFFF0000"/>
      <sz val="9"/>
      <scheme val="minor"/>
    </font>
    <font>
      <name val="Aptos Narrow"/>
      <family val="2"/>
      <color theme="1"/>
      <sz val="12"/>
      <scheme val="minor"/>
    </font>
  </fonts>
  <fills count="3">
    <fill>
      <patternFill patternType="none"/>
    </fill>
    <fill>
      <patternFill patternType="gray125"/>
    </fill>
    <fill>
      <patternFill patternType="solid">
        <fgColor rgb="FFFFFF00"/>
      </patternFill>
    </fill>
  </fills>
  <borders count="3">
    <border>
      <left/>
      <right/>
      <top/>
      <bottom/>
      <diagonal/>
    </border>
    <border>
      <left/>
      <right/>
      <top/>
      <bottom style="thin">
        <color auto="true"/>
      </bottom>
      <diagonal/>
    </border>
    <border>
      <left/>
      <right/>
      <top style="thin">
        <color auto="true"/>
      </top>
      <bottom/>
      <diagonal/>
    </border>
  </borders>
  <cellStyleXfs count="5">
    <xf numFmtId="0" fontId="0" fillId="0" borderId="0"/>
    <xf numFmtId="0" fontId="4" fillId="0" borderId="1"/>
    <xf numFmtId="0" fontId="9" fillId="0" borderId="0"/>
    <xf numFmtId="0" fontId="4" fillId="0" borderId="0"/>
    <xf numFmtId="0" fontId="4" fillId="0" borderId="2"/>
  </cellStyleXfs>
  <cellXfs count="39">
    <xf numFmtId="0" fontId="0" fillId="0" borderId="0" xfId="0"/>
    <xf numFmtId="0" fontId="0" fillId="0" borderId="0" xfId="0" applyAlignment="true">
      <alignment wrapText="true"/>
    </xf>
    <xf numFmtId="0" fontId="5" fillId="0" borderId="1" xfId="1" applyFont="true" applyAlignment="true">
      <alignment horizontal="center" wrapText="true"/>
    </xf>
    <xf numFmtId="0" fontId="6" fillId="0" borderId="0" xfId="0" applyFont="true" applyAlignment="true">
      <alignment horizontal="left" wrapText="true"/>
    </xf>
    <xf numFmtId="0" fontId="6" fillId="0" borderId="0" xfId="0" applyFont="true" applyAlignment="true">
      <alignment wrapText="true"/>
    </xf>
    <xf numFmtId="0" fontId="6" fillId="0" borderId="0" xfId="0" applyFont="true" applyAlignment="true">
      <alignment horizontal="left" indent="1" wrapText="true"/>
    </xf>
    <xf numFmtId="0" fontId="6" fillId="0" borderId="0" xfId="0" applyFont="true" applyAlignment="true">
      <alignment horizontal="left" indent="2" wrapText="true"/>
    </xf>
    <xf numFmtId="0" fontId="6" fillId="0" borderId="0" xfId="0" applyFont="true" applyAlignment="true">
      <alignment horizontal="left" indent="3" wrapText="true"/>
    </xf>
    <xf numFmtId="4" fontId="6" fillId="0" borderId="0" xfId="0" applyNumberFormat="true" applyFont="true" applyAlignment="true">
      <alignment wrapText="true"/>
    </xf>
    <xf numFmtId="0" fontId="7" fillId="0" borderId="0" xfId="0" applyFont="true" applyAlignment="true">
      <alignment horizontal="left" indent="2" wrapText="true"/>
    </xf>
    <xf numFmtId="4" fontId="7" fillId="0" borderId="2" xfId="0" applyNumberFormat="true" applyFont="true" applyBorder="true" applyAlignment="true">
      <alignment wrapText="true"/>
    </xf>
    <xf numFmtId="0" fontId="7" fillId="0" borderId="0" xfId="0" applyFont="true" applyAlignment="true">
      <alignment horizontal="left" indent="1" wrapText="true"/>
    </xf>
    <xf numFmtId="0" fontId="7" fillId="0" borderId="0" xfId="0" applyFont="true" applyAlignment="true">
      <alignment horizontal="left" wrapText="true"/>
    </xf>
    <xf numFmtId="0" fontId="6" fillId="0" borderId="0" xfId="0" applyFont="true" applyAlignment="true">
      <alignment horizontal="left" indent="4" wrapText="true"/>
    </xf>
    <xf numFmtId="0" fontId="7" fillId="0" borderId="0" xfId="0" applyFont="true" applyAlignment="true">
      <alignment horizontal="left" indent="3" wrapText="true"/>
    </xf>
    <xf numFmtId="0" fontId="6" fillId="0" borderId="0" xfId="0" applyFont="true" applyAlignment="true">
      <alignment horizontal="left" indent="5" wrapText="true"/>
    </xf>
    <xf numFmtId="0" fontId="7" fillId="0" borderId="0" xfId="0" applyFont="true" applyAlignment="true">
      <alignment horizontal="left" indent="4" wrapText="true"/>
    </xf>
    <xf numFmtId="0" fontId="8" fillId="0" borderId="0" xfId="0" applyFont="true"/>
    <xf numFmtId="0" fontId="8" fillId="0" borderId="0" xfId="0" applyFont="true" applyAlignment="true">
      <alignment wrapText="true"/>
    </xf>
    <xf numFmtId="0" fontId="9" fillId="0" borderId="0" xfId="2"/>
    <xf numFmtId="0" fontId="6" fillId="0" borderId="0" xfId="2" applyFont="true" applyAlignment="true">
      <alignment horizontal="left" wrapText="true"/>
    </xf>
    <xf numFmtId="0" fontId="6" fillId="0" borderId="0" xfId="2" applyFont="true" applyAlignment="true">
      <alignment horizontal="left" indent="1" wrapText="true"/>
    </xf>
    <xf numFmtId="0" fontId="7" fillId="0" borderId="0" xfId="2" applyFont="true" applyAlignment="true">
      <alignment horizontal="left" wrapText="true"/>
    </xf>
    <xf numFmtId="0" fontId="6" fillId="0" borderId="0" xfId="2" applyFont="true" applyAlignment="true">
      <alignment horizontal="left" indent="2" wrapText="true"/>
    </xf>
    <xf numFmtId="0" fontId="7" fillId="0" borderId="0" xfId="2" applyFont="true" applyAlignment="true">
      <alignment horizontal="left" indent="1" wrapText="true"/>
    </xf>
    <xf numFmtId="0" fontId="6" fillId="0" borderId="0" xfId="2" applyFont="true" applyAlignment="true">
      <alignment wrapText="true"/>
    </xf>
    <xf numFmtId="4" fontId="6" fillId="0" borderId="0" xfId="2" applyNumberFormat="true" applyFont="true" applyAlignment="true">
      <alignment wrapText="true"/>
    </xf>
    <xf numFmtId="4" fontId="7" fillId="0" borderId="2" xfId="2" applyNumberFormat="true" applyFont="true" applyBorder="true" applyAlignment="true">
      <alignment wrapText="true"/>
    </xf>
    <xf numFmtId="164" fontId="7" fillId="0" borderId="2" xfId="2" applyNumberFormat="true" applyFont="true" applyBorder="true" applyAlignment="true">
      <alignment wrapText="true"/>
    </xf>
    <xf numFmtId="0" fontId="1" fillId="0" borderId="0" xfId="0" applyFont="true" applyAlignment="true">
      <alignment horizontal="center" wrapText="true"/>
    </xf>
    <xf numFmtId="0" fontId="2" fillId="0" borderId="0" xfId="0" applyFont="true" applyAlignment="true">
      <alignment horizontal="center" wrapText="true"/>
    </xf>
    <xf numFmtId="0" fontId="3" fillId="0" borderId="0" xfId="0" applyFont="true" applyAlignment="true">
      <alignment horizontal="center" wrapText="true"/>
    </xf>
    <xf numFmtId="0" fontId="6" fillId="0" borderId="0" xfId="0" applyFont="true" applyAlignment="true">
      <alignment horizontal="center" wrapText="true"/>
    </xf>
    <xf numFmtId="0" fontId="1" fillId="0" borderId="0" xfId="2" applyFont="true" applyAlignment="true">
      <alignment horizontal="center" wrapText="true"/>
    </xf>
    <xf numFmtId="0" fontId="9" fillId="0" borderId="0" xfId="2" applyAlignment="true">
      <alignment wrapText="true"/>
    </xf>
    <xf numFmtId="0" fontId="2" fillId="0" borderId="0" xfId="2" applyFont="true" applyAlignment="true">
      <alignment horizontal="center" wrapText="true"/>
    </xf>
    <xf numFmtId="0" fontId="3" fillId="0" borderId="0" xfId="2" applyFont="true" applyAlignment="true">
      <alignment horizontal="center" wrapText="true"/>
    </xf>
    <xf numFmtId="0" fontId="6" fillId="0" borderId="0" xfId="2" applyFont="true" applyAlignment="true">
      <alignment horizontal="center" wrapText="true"/>
    </xf>
    <xf numFmtId="0" fontId="0" fillId="2" borderId="0" xfId="0" applyFill="true" applyAlignment="false">
      <alignment/>
    </xf>
  </cellXfs>
  <cellStyles count="5">
    <cellStyle name="GroupedCellStyle" xfId="3"/>
    <cellStyle name="HeaderCellStyle" xfId="1"/>
    <cellStyle name="Normal" xfId="0" builtinId="0"/>
    <cellStyle name="Normal 2" xfId="2"/>
    <cellStyle name="TotalCellStyle"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workbookViewId="0">
      <selection activeCell="C40" sqref="C40"/>
    </sheetView>
  </sheetViews>
  <sheetFormatPr defaultRowHeight="14.4" x14ac:dyDescent="0.3"/>
  <cols>
    <col min="1" max="1" width="28.33203125" style="1" bestFit="1" customWidth="1"/>
    <col min="2" max="2" width="11.77734375" style="1" bestFit="1" customWidth="1"/>
    <col min="3" max="3" width="9.6640625" style="1" bestFit="1" customWidth="1"/>
    <col min="4" max="4" width="8.33203125" style="1" bestFit="1" customWidth="1"/>
    <col min="5" max="5" width="7.88671875" style="1" bestFit="1" customWidth="1"/>
    <col min="6" max="6" width="8.6640625" style="1" bestFit="1" customWidth="1"/>
    <col min="7" max="7" width="7.88671875" style="1" bestFit="1" customWidth="1"/>
    <col min="8" max="8" width="10.21875" style="1" bestFit="1" customWidth="1"/>
    <col min="9" max="9" width="13.5546875" style="1" bestFit="1" customWidth="1"/>
    <col min="10" max="10" width="11.21875" style="1" bestFit="1" customWidth="1"/>
    <col min="11" max="11" width="13.109375" style="1" bestFit="1" customWidth="1"/>
    <col min="12" max="12" width="13" style="1" bestFit="1" customWidth="1"/>
    <col min="13" max="13" width="10.88671875" style="1" bestFit="1" customWidth="1"/>
    <col min="14" max="14" width="55" style="17" customWidth="1"/>
  </cols>
  <sheetData>
    <row r="1" spans="1:14" ht="14.4" customHeight="1" x14ac:dyDescent="0.3">
      <c r="A1" s="29" t="s">
        <v>2</v>
      </c>
      <c r="B1" s="29"/>
      <c r="C1" s="29"/>
      <c r="D1" s="29"/>
      <c r="E1" s="29"/>
      <c r="F1" s="29"/>
      <c r="G1" s="29"/>
      <c r="H1" s="29"/>
      <c r="I1" s="29"/>
      <c r="J1" s="29"/>
      <c r="K1" s="29"/>
      <c r="L1" s="29"/>
      <c r="M1" s="29"/>
    </row>
    <row r="2" spans="1:14" ht="14.4" customHeight="1" x14ac:dyDescent="0.3">
      <c r="A2" s="30" t="s">
        <v>1</v>
      </c>
      <c r="B2" s="30"/>
      <c r="C2" s="30"/>
      <c r="D2" s="30"/>
      <c r="E2" s="30"/>
      <c r="F2" s="30"/>
      <c r="G2" s="30"/>
      <c r="H2" s="30"/>
      <c r="I2" s="30"/>
      <c r="J2" s="30"/>
      <c r="K2" s="30"/>
      <c r="L2" s="30"/>
      <c r="M2" s="30"/>
    </row>
    <row r="3" spans="1:14" x14ac:dyDescent="0.3">
      <c r="A3" s="31" t="s">
        <v>114</v>
      </c>
      <c r="B3" s="31"/>
      <c r="C3" s="31"/>
      <c r="D3" s="31"/>
      <c r="E3" s="31"/>
      <c r="F3" s="31"/>
      <c r="G3" s="31"/>
      <c r="H3" s="31"/>
      <c r="I3" s="31"/>
      <c r="J3" s="31"/>
      <c r="K3" s="31"/>
      <c r="L3" s="31"/>
      <c r="M3" s="31"/>
    </row>
    <row r="5" spans="1:14" ht="24.6" customHeight="1" x14ac:dyDescent="0.3">
      <c r="A5" s="2" t="s">
        <v>14</v>
      </c>
      <c r="B5" s="2" t="s">
        <v>15</v>
      </c>
      <c r="C5" s="2" t="s">
        <v>16</v>
      </c>
      <c r="D5" s="2" t="s">
        <v>17</v>
      </c>
      <c r="E5" s="2" t="s">
        <v>0</v>
      </c>
      <c r="F5" s="2" t="s">
        <v>18</v>
      </c>
      <c r="G5" s="2" t="s">
        <v>19</v>
      </c>
      <c r="H5" s="2" t="s">
        <v>20</v>
      </c>
      <c r="I5" s="2" t="s">
        <v>21</v>
      </c>
      <c r="J5" s="2" t="s">
        <v>22</v>
      </c>
      <c r="K5" s="2" t="s">
        <v>23</v>
      </c>
      <c r="L5" s="2" t="s">
        <v>24</v>
      </c>
      <c r="M5" s="2" t="s">
        <v>115</v>
      </c>
    </row>
    <row r="6" spans="1:14" x14ac:dyDescent="0.3">
      <c r="A6" s="3" t="s">
        <v>25</v>
      </c>
      <c r="B6" s="4"/>
      <c r="C6" s="4"/>
      <c r="D6" s="4"/>
      <c r="E6" s="4"/>
      <c r="F6" s="4"/>
      <c r="G6" s="4"/>
      <c r="H6" s="4"/>
      <c r="I6" s="4"/>
      <c r="J6" s="4"/>
      <c r="K6" s="4"/>
      <c r="L6" s="4"/>
      <c r="M6" s="4"/>
    </row>
    <row r="7" spans="1:14" x14ac:dyDescent="0.3">
      <c r="A7" s="5" t="s">
        <v>26</v>
      </c>
      <c r="B7" s="4"/>
      <c r="C7" s="4"/>
      <c r="D7" s="4"/>
      <c r="E7" s="4"/>
      <c r="F7" s="4"/>
      <c r="G7" s="4"/>
      <c r="H7" s="4"/>
      <c r="I7" s="4"/>
      <c r="J7" s="4"/>
      <c r="K7" s="4"/>
      <c r="L7" s="4"/>
      <c r="M7" s="4"/>
    </row>
    <row r="8" spans="1:14" x14ac:dyDescent="0.3">
      <c r="A8" s="6" t="s">
        <v>27</v>
      </c>
      <c r="B8" s="4"/>
      <c r="C8" s="4"/>
      <c r="D8" s="4"/>
      <c r="E8" s="4"/>
      <c r="F8" s="4"/>
      <c r="G8" s="4"/>
      <c r="H8" s="4"/>
      <c r="I8" s="4"/>
      <c r="J8" s="4"/>
      <c r="K8" s="4"/>
      <c r="L8" s="4"/>
      <c r="M8" s="4"/>
    </row>
    <row r="9" spans="1:14" x14ac:dyDescent="0.3">
      <c r="A9" s="7" t="s">
        <v>28</v>
      </c>
      <c r="B9" s="8">
        <v>121240.35</v>
      </c>
      <c r="C9" s="8">
        <v>130021.92000000001</v>
      </c>
      <c r="D9" s="8">
        <v>154630.72</v>
      </c>
      <c r="E9" s="8">
        <v>69631.89</v>
      </c>
      <c r="F9" s="8">
        <v>84062.24</v>
      </c>
      <c r="G9" s="8">
        <v>107358.91</v>
      </c>
      <c r="H9" s="8">
        <v>91190.14</v>
      </c>
      <c r="I9" s="8">
        <v>90141.759999999995</v>
      </c>
      <c r="J9" s="8">
        <v>94481.709999999992</v>
      </c>
      <c r="K9" s="8">
        <v>81577.039999999994</v>
      </c>
      <c r="L9" s="8">
        <v>54673.349999999991</v>
      </c>
      <c r="M9" s="8">
        <v>75522.899999999994</v>
      </c>
      <c r="N9" s="18" t="s">
        <v>116</v>
      </c>
    </row>
    <row r="10" spans="1:14" x14ac:dyDescent="0.3">
      <c r="A10" s="7" t="s">
        <v>29</v>
      </c>
      <c r="B10" s="8">
        <v>-40623</v>
      </c>
      <c r="C10" s="8">
        <v>-64302</v>
      </c>
      <c r="D10" s="8">
        <v>-65282</v>
      </c>
      <c r="E10" s="8">
        <v>0</v>
      </c>
      <c r="F10" s="8">
        <v>0</v>
      </c>
      <c r="G10" s="8">
        <v>0</v>
      </c>
      <c r="H10" s="8">
        <v>0</v>
      </c>
      <c r="I10" s="8">
        <v>0</v>
      </c>
      <c r="J10" s="8">
        <v>0</v>
      </c>
      <c r="K10" s="8">
        <v>0</v>
      </c>
      <c r="L10" s="8">
        <v>0</v>
      </c>
      <c r="M10" s="8">
        <v>0</v>
      </c>
    </row>
    <row r="11" spans="1:14" x14ac:dyDescent="0.3">
      <c r="A11" s="9" t="s">
        <v>30</v>
      </c>
      <c r="B11" s="10">
        <f t="shared" ref="B11:M11" si="0">B8+B9+B10</f>
        <v>80617.350000000006</v>
      </c>
      <c r="C11" s="10">
        <f t="shared" si="0"/>
        <v>65719.920000000013</v>
      </c>
      <c r="D11" s="10">
        <f t="shared" si="0"/>
        <v>89348.72</v>
      </c>
      <c r="E11" s="10">
        <f t="shared" si="0"/>
        <v>69631.89</v>
      </c>
      <c r="F11" s="10">
        <f t="shared" si="0"/>
        <v>84062.24</v>
      </c>
      <c r="G11" s="10">
        <f t="shared" si="0"/>
        <v>107358.91</v>
      </c>
      <c r="H11" s="10">
        <f t="shared" si="0"/>
        <v>91190.14</v>
      </c>
      <c r="I11" s="10">
        <f t="shared" si="0"/>
        <v>90141.759999999995</v>
      </c>
      <c r="J11" s="10">
        <f t="shared" si="0"/>
        <v>94481.709999999992</v>
      </c>
      <c r="K11" s="10">
        <f t="shared" si="0"/>
        <v>81577.039999999994</v>
      </c>
      <c r="L11" s="10">
        <f t="shared" si="0"/>
        <v>54673.349999999991</v>
      </c>
      <c r="M11" s="10">
        <f t="shared" si="0"/>
        <v>75522.899999999994</v>
      </c>
    </row>
    <row r="12" spans="1:14" x14ac:dyDescent="0.3">
      <c r="A12" s="11" t="s">
        <v>31</v>
      </c>
      <c r="B12" s="10">
        <f t="shared" ref="B12:M12" si="1">B7+B11</f>
        <v>80617.350000000006</v>
      </c>
      <c r="C12" s="10">
        <f t="shared" si="1"/>
        <v>65719.920000000013</v>
      </c>
      <c r="D12" s="10">
        <f t="shared" si="1"/>
        <v>89348.72</v>
      </c>
      <c r="E12" s="10">
        <f t="shared" si="1"/>
        <v>69631.89</v>
      </c>
      <c r="F12" s="10">
        <f t="shared" si="1"/>
        <v>84062.24</v>
      </c>
      <c r="G12" s="10">
        <f t="shared" si="1"/>
        <v>107358.91</v>
      </c>
      <c r="H12" s="10">
        <f t="shared" si="1"/>
        <v>91190.14</v>
      </c>
      <c r="I12" s="10">
        <f t="shared" si="1"/>
        <v>90141.759999999995</v>
      </c>
      <c r="J12" s="10">
        <f t="shared" si="1"/>
        <v>94481.709999999992</v>
      </c>
      <c r="K12" s="10">
        <f t="shared" si="1"/>
        <v>81577.039999999994</v>
      </c>
      <c r="L12" s="10">
        <f t="shared" si="1"/>
        <v>54673.349999999991</v>
      </c>
      <c r="M12" s="10">
        <f t="shared" si="1"/>
        <v>75522.899999999994</v>
      </c>
    </row>
    <row r="13" spans="1:14" x14ac:dyDescent="0.3">
      <c r="A13" s="5" t="s">
        <v>32</v>
      </c>
      <c r="B13" s="4"/>
      <c r="C13" s="4"/>
      <c r="D13" s="4"/>
      <c r="E13" s="4"/>
      <c r="F13" s="4"/>
      <c r="G13" s="4"/>
      <c r="H13" s="4"/>
      <c r="I13" s="4"/>
      <c r="J13" s="4"/>
      <c r="K13" s="4"/>
      <c r="L13" s="4"/>
      <c r="M13" s="4"/>
    </row>
    <row r="14" spans="1:14" x14ac:dyDescent="0.3">
      <c r="A14" s="6" t="s">
        <v>33</v>
      </c>
      <c r="B14" s="8">
        <v>6558.74</v>
      </c>
      <c r="C14" s="8">
        <v>6558.74</v>
      </c>
      <c r="D14" s="8">
        <v>6558.74</v>
      </c>
      <c r="E14" s="8">
        <v>6558.74</v>
      </c>
      <c r="F14" s="8">
        <v>6558.74</v>
      </c>
      <c r="G14" s="8">
        <v>6558.74</v>
      </c>
      <c r="H14" s="8">
        <v>6558.74</v>
      </c>
      <c r="I14" s="8">
        <v>6558.74</v>
      </c>
      <c r="J14" s="8">
        <v>6558.74</v>
      </c>
      <c r="K14" s="8">
        <v>6558.74</v>
      </c>
      <c r="L14" s="8">
        <v>6558.74</v>
      </c>
      <c r="M14" s="8">
        <v>6558.74</v>
      </c>
    </row>
    <row r="15" spans="1:14" x14ac:dyDescent="0.3">
      <c r="A15" s="6" t="s">
        <v>34</v>
      </c>
      <c r="B15" s="8">
        <v>5690.83</v>
      </c>
      <c r="C15" s="8">
        <v>5690.83</v>
      </c>
      <c r="D15" s="8">
        <v>5690.83</v>
      </c>
      <c r="E15" s="8">
        <v>5690.83</v>
      </c>
      <c r="F15" s="8">
        <v>5690.83</v>
      </c>
      <c r="G15" s="8">
        <v>5690.83</v>
      </c>
      <c r="H15" s="8">
        <v>5690.83</v>
      </c>
      <c r="I15" s="8">
        <v>5690.83</v>
      </c>
      <c r="J15" s="8">
        <v>5690.83</v>
      </c>
      <c r="K15" s="8">
        <v>5690.83</v>
      </c>
      <c r="L15" s="8">
        <v>5690.83</v>
      </c>
      <c r="M15" s="8">
        <v>5690.83</v>
      </c>
    </row>
    <row r="16" spans="1:14" x14ac:dyDescent="0.3">
      <c r="A16" s="6" t="s">
        <v>35</v>
      </c>
      <c r="B16" s="8">
        <v>-12249.57</v>
      </c>
      <c r="C16" s="8">
        <v>-12249.57</v>
      </c>
      <c r="D16" s="8">
        <v>-12249.57</v>
      </c>
      <c r="E16" s="8">
        <v>-12249.57</v>
      </c>
      <c r="F16" s="8">
        <v>-12249.57</v>
      </c>
      <c r="G16" s="8">
        <v>-12249.57</v>
      </c>
      <c r="H16" s="8">
        <v>-12249.57</v>
      </c>
      <c r="I16" s="8">
        <v>-12249.57</v>
      </c>
      <c r="J16" s="8">
        <v>-12249.57</v>
      </c>
      <c r="K16" s="8">
        <v>-12249.57</v>
      </c>
      <c r="L16" s="8">
        <v>-12249.57</v>
      </c>
      <c r="M16" s="8">
        <v>-12249.57</v>
      </c>
    </row>
    <row r="17" spans="1:14" x14ac:dyDescent="0.3">
      <c r="A17" s="11" t="s">
        <v>36</v>
      </c>
      <c r="B17" s="10">
        <f t="shared" ref="B17:M17" si="2">B13+B14+B15+B16</f>
        <v>0</v>
      </c>
      <c r="C17" s="10">
        <f t="shared" si="2"/>
        <v>0</v>
      </c>
      <c r="D17" s="10">
        <f t="shared" si="2"/>
        <v>0</v>
      </c>
      <c r="E17" s="10">
        <f t="shared" si="2"/>
        <v>0</v>
      </c>
      <c r="F17" s="10">
        <f t="shared" si="2"/>
        <v>0</v>
      </c>
      <c r="G17" s="10">
        <f t="shared" si="2"/>
        <v>0</v>
      </c>
      <c r="H17" s="10">
        <f t="shared" si="2"/>
        <v>0</v>
      </c>
      <c r="I17" s="10">
        <f t="shared" si="2"/>
        <v>0</v>
      </c>
      <c r="J17" s="10">
        <f t="shared" si="2"/>
        <v>0</v>
      </c>
      <c r="K17" s="10">
        <f t="shared" si="2"/>
        <v>0</v>
      </c>
      <c r="L17" s="10">
        <f t="shared" si="2"/>
        <v>0</v>
      </c>
      <c r="M17" s="10">
        <f t="shared" si="2"/>
        <v>0</v>
      </c>
    </row>
    <row r="18" spans="1:14" x14ac:dyDescent="0.3">
      <c r="A18" s="12" t="s">
        <v>37</v>
      </c>
      <c r="B18" s="10">
        <f t="shared" ref="B18:M18" si="3">B12+B17</f>
        <v>80617.350000000006</v>
      </c>
      <c r="C18" s="10">
        <f t="shared" si="3"/>
        <v>65719.920000000013</v>
      </c>
      <c r="D18" s="10">
        <f t="shared" si="3"/>
        <v>89348.72</v>
      </c>
      <c r="E18" s="10">
        <f t="shared" si="3"/>
        <v>69631.89</v>
      </c>
      <c r="F18" s="10">
        <f t="shared" si="3"/>
        <v>84062.24</v>
      </c>
      <c r="G18" s="10">
        <f t="shared" si="3"/>
        <v>107358.91</v>
      </c>
      <c r="H18" s="10">
        <f t="shared" si="3"/>
        <v>91190.14</v>
      </c>
      <c r="I18" s="10">
        <f t="shared" si="3"/>
        <v>90141.759999999995</v>
      </c>
      <c r="J18" s="10">
        <f t="shared" si="3"/>
        <v>94481.709999999992</v>
      </c>
      <c r="K18" s="10">
        <f t="shared" si="3"/>
        <v>81577.039999999994</v>
      </c>
      <c r="L18" s="10">
        <f t="shared" si="3"/>
        <v>54673.349999999991</v>
      </c>
      <c r="M18" s="10">
        <f t="shared" si="3"/>
        <v>75522.899999999994</v>
      </c>
    </row>
    <row r="19" spans="1:14" x14ac:dyDescent="0.3">
      <c r="A19" s="3" t="s">
        <v>38</v>
      </c>
      <c r="B19" s="4"/>
      <c r="C19" s="4"/>
      <c r="D19" s="4"/>
      <c r="E19" s="4"/>
      <c r="F19" s="4"/>
      <c r="G19" s="4"/>
      <c r="H19" s="4"/>
      <c r="I19" s="4"/>
      <c r="J19" s="4"/>
      <c r="K19" s="4"/>
      <c r="L19" s="4"/>
      <c r="M19" s="4"/>
    </row>
    <row r="20" spans="1:14" x14ac:dyDescent="0.3">
      <c r="A20" s="5" t="s">
        <v>39</v>
      </c>
      <c r="B20" s="4"/>
      <c r="C20" s="4"/>
      <c r="D20" s="4"/>
      <c r="E20" s="4"/>
      <c r="F20" s="4"/>
      <c r="G20" s="4"/>
      <c r="H20" s="4"/>
      <c r="I20" s="4"/>
      <c r="J20" s="4"/>
      <c r="K20" s="4"/>
      <c r="L20" s="4"/>
      <c r="M20" s="4"/>
    </row>
    <row r="21" spans="1:14" x14ac:dyDescent="0.3">
      <c r="A21" s="6" t="s">
        <v>40</v>
      </c>
      <c r="B21" s="4"/>
      <c r="C21" s="4"/>
      <c r="D21" s="4"/>
      <c r="E21" s="4"/>
      <c r="F21" s="4"/>
      <c r="G21" s="4"/>
      <c r="H21" s="4"/>
      <c r="I21" s="4"/>
      <c r="J21" s="4"/>
      <c r="K21" s="4"/>
      <c r="L21" s="4"/>
      <c r="M21" s="4"/>
    </row>
    <row r="22" spans="1:14" x14ac:dyDescent="0.3">
      <c r="A22" s="7" t="s">
        <v>41</v>
      </c>
      <c r="B22" s="4"/>
      <c r="C22" s="4"/>
      <c r="D22" s="4"/>
      <c r="E22" s="4"/>
      <c r="F22" s="4"/>
      <c r="G22" s="4"/>
      <c r="H22" s="4"/>
      <c r="I22" s="4"/>
      <c r="J22" s="4"/>
      <c r="K22" s="4"/>
      <c r="L22" s="4"/>
      <c r="M22" s="4"/>
    </row>
    <row r="23" spans="1:14" ht="24.6" x14ac:dyDescent="0.3">
      <c r="A23" s="13" t="s">
        <v>42</v>
      </c>
      <c r="B23" s="8">
        <v>68</v>
      </c>
      <c r="C23" s="8">
        <v>495.33</v>
      </c>
      <c r="D23" s="8">
        <v>1230.31</v>
      </c>
      <c r="E23" s="8">
        <v>2.9900000000000091</v>
      </c>
      <c r="F23" s="8">
        <v>1767.13</v>
      </c>
      <c r="G23" s="8">
        <v>2852.42</v>
      </c>
      <c r="H23" s="8">
        <v>770.52</v>
      </c>
      <c r="I23" s="8">
        <v>242.98000000000002</v>
      </c>
      <c r="J23" s="8">
        <v>2401.2600000000002</v>
      </c>
      <c r="K23" s="8">
        <v>63.400000000000091</v>
      </c>
      <c r="L23" s="8">
        <v>829.71</v>
      </c>
      <c r="M23" s="8">
        <v>1519.33</v>
      </c>
      <c r="N23" s="18" t="s">
        <v>117</v>
      </c>
    </row>
    <row r="24" spans="1:14" ht="24.6" x14ac:dyDescent="0.3">
      <c r="A24" s="13" t="s">
        <v>43</v>
      </c>
      <c r="B24" s="8">
        <v>1276.9499999999994</v>
      </c>
      <c r="C24" s="8">
        <v>2964.8999999999996</v>
      </c>
      <c r="D24" s="8">
        <v>8150.62</v>
      </c>
      <c r="E24" s="8">
        <v>1538.6800000000003</v>
      </c>
      <c r="F24" s="8">
        <v>7187.7400000000007</v>
      </c>
      <c r="G24" s="8">
        <v>4736.3100000000013</v>
      </c>
      <c r="H24" s="8">
        <v>7808.9600000000009</v>
      </c>
      <c r="I24" s="8">
        <v>4756.0100000000011</v>
      </c>
      <c r="J24" s="8">
        <v>9614.3500000000022</v>
      </c>
      <c r="K24" s="8">
        <v>8908.470000000003</v>
      </c>
      <c r="L24" s="8">
        <v>12378.320000000003</v>
      </c>
      <c r="M24" s="8">
        <v>7987.4400000000032</v>
      </c>
      <c r="N24" s="18" t="s">
        <v>118</v>
      </c>
    </row>
    <row r="25" spans="1:14" x14ac:dyDescent="0.3">
      <c r="A25" s="14" t="s">
        <v>44</v>
      </c>
      <c r="B25" s="10">
        <f t="shared" ref="B25:M25" si="4">B22+B23+B24</f>
        <v>1344.9499999999994</v>
      </c>
      <c r="C25" s="10">
        <f t="shared" si="4"/>
        <v>3460.2299999999996</v>
      </c>
      <c r="D25" s="10">
        <f t="shared" si="4"/>
        <v>9380.93</v>
      </c>
      <c r="E25" s="10">
        <f t="shared" si="4"/>
        <v>1541.6700000000003</v>
      </c>
      <c r="F25" s="10">
        <f t="shared" si="4"/>
        <v>8954.8700000000008</v>
      </c>
      <c r="G25" s="10">
        <f t="shared" si="4"/>
        <v>7588.7300000000014</v>
      </c>
      <c r="H25" s="10">
        <f t="shared" si="4"/>
        <v>8579.4800000000014</v>
      </c>
      <c r="I25" s="10">
        <f t="shared" si="4"/>
        <v>4998.9900000000016</v>
      </c>
      <c r="J25" s="10">
        <f t="shared" si="4"/>
        <v>12015.610000000002</v>
      </c>
      <c r="K25" s="10">
        <f t="shared" si="4"/>
        <v>8971.8700000000026</v>
      </c>
      <c r="L25" s="10">
        <f t="shared" si="4"/>
        <v>13208.030000000002</v>
      </c>
      <c r="M25" s="10">
        <f t="shared" si="4"/>
        <v>9506.7700000000041</v>
      </c>
    </row>
    <row r="26" spans="1:14" x14ac:dyDescent="0.3">
      <c r="A26" s="7" t="s">
        <v>45</v>
      </c>
      <c r="B26" s="4"/>
      <c r="C26" s="4"/>
      <c r="D26" s="4"/>
      <c r="E26" s="4"/>
      <c r="F26" s="4"/>
      <c r="G26" s="4"/>
      <c r="H26" s="4"/>
      <c r="I26" s="4"/>
      <c r="J26" s="4"/>
      <c r="K26" s="4"/>
      <c r="L26" s="4"/>
      <c r="M26" s="4"/>
    </row>
    <row r="27" spans="1:14" x14ac:dyDescent="0.3">
      <c r="A27" s="13" t="s">
        <v>46</v>
      </c>
      <c r="B27" s="4"/>
      <c r="C27" s="4"/>
      <c r="D27" s="4"/>
      <c r="E27" s="4"/>
      <c r="F27" s="4"/>
      <c r="G27" s="4"/>
      <c r="H27" s="4"/>
      <c r="I27" s="4"/>
      <c r="J27" s="4"/>
      <c r="K27" s="4"/>
      <c r="L27" s="4"/>
      <c r="M27" s="4"/>
    </row>
    <row r="28" spans="1:14" x14ac:dyDescent="0.3">
      <c r="A28" s="15" t="s">
        <v>47</v>
      </c>
      <c r="B28" s="8">
        <v>0</v>
      </c>
      <c r="C28" s="8">
        <v>0</v>
      </c>
      <c r="D28" s="8">
        <v>0</v>
      </c>
      <c r="E28" s="8">
        <v>0</v>
      </c>
      <c r="F28" s="8">
        <v>0</v>
      </c>
      <c r="G28" s="8">
        <v>0</v>
      </c>
      <c r="H28" s="8">
        <v>0</v>
      </c>
      <c r="I28" s="8">
        <v>0</v>
      </c>
      <c r="J28" s="8">
        <v>0</v>
      </c>
      <c r="K28" s="8">
        <v>0</v>
      </c>
      <c r="L28" s="8">
        <v>84</v>
      </c>
      <c r="M28" s="8">
        <v>0</v>
      </c>
      <c r="N28" s="17" t="s">
        <v>119</v>
      </c>
    </row>
    <row r="29" spans="1:14" ht="21.6" customHeight="1" x14ac:dyDescent="0.3">
      <c r="A29" s="16" t="s">
        <v>48</v>
      </c>
      <c r="B29" s="10">
        <f t="shared" ref="B29:M29" si="5">B27+B28</f>
        <v>0</v>
      </c>
      <c r="C29" s="10">
        <f t="shared" si="5"/>
        <v>0</v>
      </c>
      <c r="D29" s="10">
        <f t="shared" si="5"/>
        <v>0</v>
      </c>
      <c r="E29" s="10">
        <f t="shared" si="5"/>
        <v>0</v>
      </c>
      <c r="F29" s="10">
        <f t="shared" si="5"/>
        <v>0</v>
      </c>
      <c r="G29" s="10">
        <f t="shared" si="5"/>
        <v>0</v>
      </c>
      <c r="H29" s="10">
        <f t="shared" si="5"/>
        <v>0</v>
      </c>
      <c r="I29" s="10">
        <f t="shared" si="5"/>
        <v>0</v>
      </c>
      <c r="J29" s="10">
        <f t="shared" si="5"/>
        <v>0</v>
      </c>
      <c r="K29" s="10">
        <f t="shared" si="5"/>
        <v>0</v>
      </c>
      <c r="L29" s="10">
        <f t="shared" si="5"/>
        <v>84</v>
      </c>
      <c r="M29" s="10">
        <f t="shared" si="5"/>
        <v>0</v>
      </c>
    </row>
    <row r="30" spans="1:14" x14ac:dyDescent="0.3">
      <c r="A30" s="13" t="s">
        <v>49</v>
      </c>
      <c r="B30" s="8">
        <v>13000</v>
      </c>
      <c r="C30" s="8">
        <v>13000</v>
      </c>
      <c r="D30" s="8">
        <v>13000</v>
      </c>
      <c r="E30" s="8">
        <v>13000</v>
      </c>
      <c r="F30" s="8">
        <v>13000</v>
      </c>
      <c r="G30" s="8">
        <v>13000</v>
      </c>
      <c r="H30" s="8">
        <v>13000</v>
      </c>
      <c r="I30" s="8">
        <v>0</v>
      </c>
      <c r="J30" s="8">
        <v>0</v>
      </c>
      <c r="K30" s="8">
        <v>0</v>
      </c>
      <c r="L30" s="8">
        <v>0</v>
      </c>
      <c r="M30" s="8">
        <v>0</v>
      </c>
    </row>
    <row r="31" spans="1:14" x14ac:dyDescent="0.3">
      <c r="A31" s="14" t="s">
        <v>50</v>
      </c>
      <c r="B31" s="10">
        <f t="shared" ref="B31:M31" si="6">B26+B29+B30</f>
        <v>13000</v>
      </c>
      <c r="C31" s="10">
        <f t="shared" si="6"/>
        <v>13000</v>
      </c>
      <c r="D31" s="10">
        <f t="shared" si="6"/>
        <v>13000</v>
      </c>
      <c r="E31" s="10">
        <f t="shared" si="6"/>
        <v>13000</v>
      </c>
      <c r="F31" s="10">
        <f t="shared" si="6"/>
        <v>13000</v>
      </c>
      <c r="G31" s="10">
        <f t="shared" si="6"/>
        <v>13000</v>
      </c>
      <c r="H31" s="10">
        <f t="shared" si="6"/>
        <v>13000</v>
      </c>
      <c r="I31" s="10">
        <f t="shared" si="6"/>
        <v>0</v>
      </c>
      <c r="J31" s="10">
        <f t="shared" si="6"/>
        <v>0</v>
      </c>
      <c r="K31" s="10">
        <f t="shared" si="6"/>
        <v>0</v>
      </c>
      <c r="L31" s="10">
        <f t="shared" si="6"/>
        <v>84</v>
      </c>
      <c r="M31" s="10">
        <f t="shared" si="6"/>
        <v>0</v>
      </c>
    </row>
    <row r="32" spans="1:14" x14ac:dyDescent="0.3">
      <c r="A32" s="9" t="s">
        <v>51</v>
      </c>
      <c r="B32" s="10">
        <f t="shared" ref="B32:M32" si="7">B21+B25+B31</f>
        <v>14344.949999999999</v>
      </c>
      <c r="C32" s="10">
        <f t="shared" si="7"/>
        <v>16460.23</v>
      </c>
      <c r="D32" s="10">
        <f t="shared" si="7"/>
        <v>22380.93</v>
      </c>
      <c r="E32" s="10">
        <f t="shared" si="7"/>
        <v>14541.67</v>
      </c>
      <c r="F32" s="10">
        <f t="shared" si="7"/>
        <v>21954.870000000003</v>
      </c>
      <c r="G32" s="10">
        <f t="shared" si="7"/>
        <v>20588.730000000003</v>
      </c>
      <c r="H32" s="10">
        <f t="shared" si="7"/>
        <v>21579.480000000003</v>
      </c>
      <c r="I32" s="10">
        <f t="shared" si="7"/>
        <v>4998.9900000000016</v>
      </c>
      <c r="J32" s="10">
        <f t="shared" si="7"/>
        <v>12015.610000000002</v>
      </c>
      <c r="K32" s="10">
        <f t="shared" si="7"/>
        <v>8971.8700000000026</v>
      </c>
      <c r="L32" s="10">
        <f t="shared" si="7"/>
        <v>13292.030000000002</v>
      </c>
      <c r="M32" s="10">
        <f t="shared" si="7"/>
        <v>9506.7700000000041</v>
      </c>
    </row>
    <row r="33" spans="1:13" x14ac:dyDescent="0.3">
      <c r="A33" s="6" t="s">
        <v>52</v>
      </c>
      <c r="B33" s="4"/>
      <c r="C33" s="4"/>
      <c r="D33" s="4"/>
      <c r="E33" s="4"/>
      <c r="F33" s="4"/>
      <c r="G33" s="4"/>
      <c r="H33" s="4"/>
      <c r="I33" s="4"/>
      <c r="J33" s="4"/>
      <c r="K33" s="4"/>
      <c r="L33" s="4"/>
      <c r="M33" s="4"/>
    </row>
    <row r="34" spans="1:13" x14ac:dyDescent="0.3">
      <c r="A34" s="7" t="s">
        <v>53</v>
      </c>
      <c r="B34" s="8">
        <v>34600</v>
      </c>
      <c r="C34" s="8">
        <v>34600</v>
      </c>
      <c r="D34" s="8">
        <v>34600</v>
      </c>
      <c r="E34" s="8">
        <v>34600</v>
      </c>
      <c r="F34" s="8">
        <v>34600</v>
      </c>
      <c r="G34" s="8">
        <v>34600</v>
      </c>
      <c r="H34" s="8">
        <v>34600</v>
      </c>
      <c r="I34" s="8">
        <v>34600</v>
      </c>
      <c r="J34" s="8">
        <v>34600</v>
      </c>
      <c r="K34" s="8">
        <v>34600</v>
      </c>
      <c r="L34" s="8">
        <v>34600</v>
      </c>
      <c r="M34" s="8">
        <v>34600</v>
      </c>
    </row>
    <row r="35" spans="1:13" x14ac:dyDescent="0.3">
      <c r="A35" s="9" t="s">
        <v>54</v>
      </c>
      <c r="B35" s="10">
        <f t="shared" ref="B35:M35" si="8">B33+B34</f>
        <v>34600</v>
      </c>
      <c r="C35" s="10">
        <f t="shared" si="8"/>
        <v>34600</v>
      </c>
      <c r="D35" s="10">
        <f t="shared" si="8"/>
        <v>34600</v>
      </c>
      <c r="E35" s="10">
        <f t="shared" si="8"/>
        <v>34600</v>
      </c>
      <c r="F35" s="10">
        <f t="shared" si="8"/>
        <v>34600</v>
      </c>
      <c r="G35" s="10">
        <f t="shared" si="8"/>
        <v>34600</v>
      </c>
      <c r="H35" s="10">
        <f t="shared" si="8"/>
        <v>34600</v>
      </c>
      <c r="I35" s="10">
        <f t="shared" si="8"/>
        <v>34600</v>
      </c>
      <c r="J35" s="10">
        <f t="shared" si="8"/>
        <v>34600</v>
      </c>
      <c r="K35" s="10">
        <f t="shared" si="8"/>
        <v>34600</v>
      </c>
      <c r="L35" s="10">
        <f t="shared" si="8"/>
        <v>34600</v>
      </c>
      <c r="M35" s="10">
        <f t="shared" si="8"/>
        <v>34600</v>
      </c>
    </row>
    <row r="36" spans="1:13" x14ac:dyDescent="0.3">
      <c r="A36" s="11" t="s">
        <v>55</v>
      </c>
      <c r="B36" s="10">
        <f t="shared" ref="B36:M36" si="9">B20+B32+B35</f>
        <v>48944.95</v>
      </c>
      <c r="C36" s="10">
        <f t="shared" si="9"/>
        <v>51060.229999999996</v>
      </c>
      <c r="D36" s="10">
        <f t="shared" si="9"/>
        <v>56980.93</v>
      </c>
      <c r="E36" s="10">
        <f t="shared" si="9"/>
        <v>49141.67</v>
      </c>
      <c r="F36" s="10">
        <f t="shared" si="9"/>
        <v>56554.87</v>
      </c>
      <c r="G36" s="10">
        <f t="shared" si="9"/>
        <v>55188.73</v>
      </c>
      <c r="H36" s="10">
        <f t="shared" si="9"/>
        <v>56179.48</v>
      </c>
      <c r="I36" s="10">
        <f t="shared" si="9"/>
        <v>39598.990000000005</v>
      </c>
      <c r="J36" s="10">
        <f t="shared" si="9"/>
        <v>46615.61</v>
      </c>
      <c r="K36" s="10">
        <f t="shared" si="9"/>
        <v>43571.87</v>
      </c>
      <c r="L36" s="10">
        <f t="shared" si="9"/>
        <v>47892.03</v>
      </c>
      <c r="M36" s="10">
        <f t="shared" si="9"/>
        <v>44106.770000000004</v>
      </c>
    </row>
    <row r="37" spans="1:13" x14ac:dyDescent="0.3">
      <c r="A37" s="5" t="s">
        <v>56</v>
      </c>
      <c r="B37" s="4"/>
      <c r="C37" s="4"/>
      <c r="D37" s="4"/>
      <c r="E37" s="4"/>
      <c r="F37" s="4"/>
      <c r="G37" s="4"/>
      <c r="H37" s="4"/>
      <c r="I37" s="4"/>
      <c r="J37" s="4"/>
      <c r="K37" s="4"/>
      <c r="L37" s="4"/>
      <c r="M37" s="4"/>
    </row>
    <row r="38" spans="1:13" x14ac:dyDescent="0.3">
      <c r="A38" s="6" t="s">
        <v>57</v>
      </c>
      <c r="B38" s="8">
        <v>-10157.950000000001</v>
      </c>
      <c r="C38" s="8">
        <v>-31168.420000000002</v>
      </c>
      <c r="D38" s="8">
        <v>-42172.31</v>
      </c>
      <c r="E38" s="8">
        <v>-62854.7</v>
      </c>
      <c r="F38" s="8">
        <v>-84057.31</v>
      </c>
      <c r="G38" s="8">
        <v>-81823.929999999993</v>
      </c>
      <c r="H38" s="8">
        <v>-101300.31</v>
      </c>
      <c r="I38" s="8">
        <v>-81979.649999999994</v>
      </c>
      <c r="J38" s="8">
        <v>-88079.579999999987</v>
      </c>
      <c r="K38" s="8">
        <v>-89383.559999999983</v>
      </c>
      <c r="L38" s="8">
        <v>-78165.039999999979</v>
      </c>
      <c r="M38" s="8">
        <v>-597.63999999998487</v>
      </c>
    </row>
    <row r="39" spans="1:13" x14ac:dyDescent="0.3">
      <c r="A39" s="6" t="s">
        <v>58</v>
      </c>
      <c r="B39" s="8">
        <v>262.02000000001863</v>
      </c>
      <c r="C39" s="8">
        <v>262.02000000001863</v>
      </c>
      <c r="D39" s="8">
        <v>262.02000000001863</v>
      </c>
      <c r="E39" s="8">
        <v>262.02000000001863</v>
      </c>
      <c r="F39" s="8">
        <v>262.02000000001863</v>
      </c>
      <c r="G39" s="8">
        <v>262.02000000001863</v>
      </c>
      <c r="H39" s="8">
        <v>262.02000000001863</v>
      </c>
      <c r="I39" s="8">
        <v>262.02000000001863</v>
      </c>
      <c r="J39" s="8">
        <v>262.02000000001863</v>
      </c>
      <c r="K39" s="8">
        <v>262.02000000001863</v>
      </c>
      <c r="L39" s="8">
        <v>262.02000000001863</v>
      </c>
      <c r="M39" s="8">
        <v>6781.3200000000215</v>
      </c>
    </row>
    <row r="40" spans="1:13" x14ac:dyDescent="0.3">
      <c r="A40" s="6" t="s">
        <v>13</v>
      </c>
      <c r="B40" s="8">
        <v>41568.329999999987</v>
      </c>
      <c r="C40" s="8">
        <v>45566.089999999982</v>
      </c>
      <c r="D40" s="8">
        <v>74278.079999999973</v>
      </c>
      <c r="E40" s="8">
        <v>83082.89999999998</v>
      </c>
      <c r="F40" s="8">
        <v>111302.65999999997</v>
      </c>
      <c r="G40" s="8">
        <v>133732.08999999997</v>
      </c>
      <c r="H40" s="8">
        <v>136048.94999999998</v>
      </c>
      <c r="I40" s="8">
        <v>132260.4</v>
      </c>
      <c r="J40" s="8">
        <v>135683.66</v>
      </c>
      <c r="K40" s="8">
        <v>127126.71</v>
      </c>
      <c r="L40" s="8">
        <v>84684.34</v>
      </c>
      <c r="M40" s="8">
        <v>25232.449999999997</v>
      </c>
    </row>
    <row r="41" spans="1:13" x14ac:dyDescent="0.3">
      <c r="A41" s="11" t="s">
        <v>59</v>
      </c>
      <c r="B41" s="10">
        <f t="shared" ref="B41:M41" si="10">B37+B38+B39+B40</f>
        <v>31672.400000000005</v>
      </c>
      <c r="C41" s="10">
        <f t="shared" si="10"/>
        <v>14659.689999999999</v>
      </c>
      <c r="D41" s="10">
        <f t="shared" si="10"/>
        <v>32367.789999999994</v>
      </c>
      <c r="E41" s="10">
        <f t="shared" si="10"/>
        <v>20490.22</v>
      </c>
      <c r="F41" s="10">
        <f t="shared" si="10"/>
        <v>27507.369999999995</v>
      </c>
      <c r="G41" s="10">
        <f t="shared" si="10"/>
        <v>52170.179999999993</v>
      </c>
      <c r="H41" s="10">
        <f t="shared" si="10"/>
        <v>35010.660000000003</v>
      </c>
      <c r="I41" s="10">
        <f t="shared" si="10"/>
        <v>50542.770000000019</v>
      </c>
      <c r="J41" s="10">
        <f t="shared" si="10"/>
        <v>47866.100000000035</v>
      </c>
      <c r="K41" s="10">
        <f t="shared" si="10"/>
        <v>38005.170000000042</v>
      </c>
      <c r="L41" s="10">
        <f t="shared" si="10"/>
        <v>6781.3200000000361</v>
      </c>
      <c r="M41" s="10">
        <f t="shared" si="10"/>
        <v>31416.130000000034</v>
      </c>
    </row>
    <row r="42" spans="1:13" x14ac:dyDescent="0.3">
      <c r="A42" s="12" t="s">
        <v>60</v>
      </c>
      <c r="B42" s="10">
        <f t="shared" ref="B42:M42" si="11">B36+B41</f>
        <v>80617.350000000006</v>
      </c>
      <c r="C42" s="10">
        <f t="shared" si="11"/>
        <v>65719.92</v>
      </c>
      <c r="D42" s="10">
        <f t="shared" si="11"/>
        <v>89348.72</v>
      </c>
      <c r="E42" s="10">
        <f t="shared" si="11"/>
        <v>69631.89</v>
      </c>
      <c r="F42" s="10">
        <f t="shared" si="11"/>
        <v>84062.239999999991</v>
      </c>
      <c r="G42" s="10">
        <f t="shared" si="11"/>
        <v>107358.91</v>
      </c>
      <c r="H42" s="10">
        <f t="shared" si="11"/>
        <v>91190.140000000014</v>
      </c>
      <c r="I42" s="10">
        <f t="shared" si="11"/>
        <v>90141.760000000024</v>
      </c>
      <c r="J42" s="10">
        <f t="shared" si="11"/>
        <v>94481.710000000036</v>
      </c>
      <c r="K42" s="10">
        <f t="shared" si="11"/>
        <v>81577.040000000037</v>
      </c>
      <c r="L42" s="10">
        <f t="shared" si="11"/>
        <v>54673.350000000035</v>
      </c>
      <c r="M42" s="10">
        <f t="shared" si="11"/>
        <v>75522.900000000038</v>
      </c>
    </row>
    <row r="46" spans="1:13" ht="14.4" customHeight="1" x14ac:dyDescent="0.3">
      <c r="A46" s="32" t="s">
        <v>123</v>
      </c>
      <c r="B46" s="32"/>
      <c r="C46" s="32"/>
      <c r="D46" s="32"/>
      <c r="E46" s="32"/>
      <c r="F46" s="32"/>
      <c r="G46" s="32"/>
      <c r="H46" s="32"/>
      <c r="I46" s="32"/>
      <c r="J46" s="32"/>
      <c r="K46" s="32"/>
      <c r="L46" s="32"/>
      <c r="M46" s="32"/>
    </row>
    <row r="47" spans="1:13" ht="14.4" customHeight="1" x14ac:dyDescent="0.3"/>
    <row r="52" ht="14.4" customHeight="1" x14ac:dyDescent="0.3"/>
  </sheetData>
  <mergeCells count="4">
    <mergeCell ref="A1:M1"/>
    <mergeCell ref="A2:M2"/>
    <mergeCell ref="A3:M3"/>
    <mergeCell ref="A46:M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E744-AB06-424F-9CFC-73D04A2498AE}">
  <dimension ref="A1:O77"/>
  <sheetViews>
    <sheetView tabSelected="true" topLeftCell="F1" zoomScaleNormal="100" workbookViewId="0">
      <selection activeCell="O1" sqref="O1:O1048576"/>
    </sheetView>
  </sheetViews>
  <sheetFormatPr defaultRowHeight="14.4"/>
  <cols>
    <col bestFit="true" customWidth="true" max="1" min="1" style="1" width="34.33203125"/>
    <col bestFit="true" customWidth="true" max="2" min="2" style="1" width="11.77734375"/>
    <col bestFit="true" customWidth="true" max="3" min="3" style="1" width="9.6640625"/>
    <col bestFit="true" customWidth="true" max="4" min="4" style="1" width="8.33203125"/>
    <col bestFit="true" customWidth="true" max="5" min="5" style="1" width="7.88671875"/>
    <col bestFit="true" customWidth="true" max="6" min="6" style="1" width="8.6640625"/>
    <col bestFit="true" customWidth="true" max="7" min="7" style="1" width="7.88671875"/>
    <col bestFit="true" customWidth="true" max="8" min="8" style="1" width="10.21875"/>
    <col bestFit="true" customWidth="true" max="9" min="9" style="1" width="13.5546875"/>
    <col bestFit="true" customWidth="true" max="10" min="10" style="1" width="11.21875"/>
    <col bestFit="true" customWidth="true" max="11" min="11" style="1" width="13.109375"/>
    <col bestFit="true" customWidth="true" max="12" min="12" style="1" width="13"/>
    <col bestFit="true" customWidth="true" max="13" min="13" style="1" width="10.88671875"/>
    <col bestFit="true" customWidth="true" max="14" min="14" style="1" width="8.6640625"/>
    <col customWidth="true" max="15" min="15" style="17" width="44.77734375"/>
  </cols>
  <sheetData>
    <row r="1" spans="1:14" ht="14.4" customHeight="true">
      <c r="A1" s="33" t="s">
        <v>3</v>
      </c>
      <c r="B1" s="34"/>
      <c r="C1" s="34"/>
      <c r="D1" s="34"/>
      <c r="E1" s="34"/>
      <c r="F1" s="34"/>
      <c r="G1" s="34"/>
      <c r="H1" s="34"/>
      <c r="I1" s="34"/>
      <c r="J1" s="34"/>
      <c r="K1" s="34"/>
      <c r="L1" s="34"/>
      <c r="M1" s="34"/>
      <c r="N1" s="34"/>
    </row>
    <row r="2" spans="1:14" ht="14.4" customHeight="true">
      <c r="A2" s="35" t="s">
        <v>1</v>
      </c>
      <c r="B2" s="34"/>
      <c r="C2" s="34"/>
      <c r="D2" s="34"/>
      <c r="E2" s="34"/>
      <c r="F2" s="34"/>
      <c r="G2" s="34"/>
      <c r="H2" s="34"/>
      <c r="I2" s="34"/>
      <c r="J2" s="34"/>
      <c r="K2" s="34"/>
      <c r="L2" s="34"/>
      <c r="M2" s="34"/>
      <c r="N2" s="34"/>
    </row>
    <row r="3" spans="1:14" ht="15.6">
      <c r="A3" s="36" t="s">
        <v>120</v>
      </c>
      <c r="B3" s="34"/>
      <c r="C3" s="34"/>
      <c r="D3" s="34"/>
      <c r="E3" s="34"/>
      <c r="F3" s="34"/>
      <c r="G3" s="34"/>
      <c r="H3" s="34"/>
      <c r="I3" s="34"/>
      <c r="J3" s="34"/>
      <c r="K3" s="34"/>
      <c r="L3" s="34"/>
      <c r="M3" s="34"/>
      <c r="N3" s="34"/>
    </row>
    <row r="5" spans="1:14" ht="24.6" customHeight="true">
      <c r="A5" s="2" t="s">
        <v>14</v>
      </c>
      <c r="B5" s="2" t="s">
        <v>15</v>
      </c>
      <c r="C5" s="2" t="s">
        <v>16</v>
      </c>
      <c r="D5" s="2" t="s">
        <v>17</v>
      </c>
      <c r="E5" s="2" t="s">
        <v>0</v>
      </c>
      <c r="F5" s="2" t="s">
        <v>18</v>
      </c>
      <c r="G5" s="2" t="s">
        <v>19</v>
      </c>
      <c r="H5" s="2" t="s">
        <v>20</v>
      </c>
      <c r="I5" s="2" t="s">
        <v>21</v>
      </c>
      <c r="J5" s="2" t="s">
        <v>22</v>
      </c>
      <c r="K5" s="2" t="s">
        <v>23</v>
      </c>
      <c r="L5" s="2" t="s">
        <v>24</v>
      </c>
      <c r="M5" s="2" t="s">
        <v>115</v>
      </c>
      <c r="N5" s="2" t="s">
        <v>4</v>
      </c>
    </row>
    <row r="6" spans="1:14" ht="15.6">
      <c r="A6" s="38" t="s">
        <v>5</v>
      </c>
      <c r="B6" s="38"/>
      <c r="C6" s="38"/>
      <c r="D6" s="38"/>
      <c r="E6" s="38"/>
      <c r="F6" s="38"/>
      <c r="G6" s="38"/>
      <c r="H6" s="38"/>
      <c r="I6" s="38"/>
      <c r="J6" s="38"/>
      <c r="K6" s="38"/>
      <c r="L6" s="38"/>
      <c r="M6" s="38"/>
      <c r="N6" s="38"/>
      <c r="O6" s="38"/>
    </row>
    <row r="7" spans="1:14">
      <c r="A7" s="21" t="s">
        <v>61</v>
      </c>
      <c r="B7" s="26">
        <v>67500</v>
      </c>
      <c r="C7" s="26">
        <v>42500</v>
      </c>
      <c r="D7" s="26">
        <v>42500</v>
      </c>
      <c r="E7" s="26">
        <v>43300</v>
      </c>
      <c r="F7" s="26">
        <v>63400</v>
      </c>
      <c r="G7" s="26">
        <v>67600</v>
      </c>
      <c r="H7" s="26">
        <v>57500</v>
      </c>
      <c r="I7" s="26">
        <v>45000</v>
      </c>
      <c r="J7" s="26">
        <v>67220.45</v>
      </c>
      <c r="K7" s="26">
        <v>45000</v>
      </c>
      <c r="L7" s="26">
        <v>110000</v>
      </c>
      <c r="M7" s="26">
        <v>76500</v>
      </c>
      <c r="N7" s="26">
        <v>728020.45</v>
      </c>
    </row>
    <row r="8" spans="1:14">
      <c r="A8" s="38" t="s">
        <v>62</v>
      </c>
      <c r="B8" s="38"/>
      <c r="C8" s="38"/>
      <c r="D8" s="38">
        <v>3000</v>
      </c>
      <c r="E8" s="38"/>
      <c r="F8" s="38">
        <v>12119.03</v>
      </c>
      <c r="G8" s="38">
        <v>3053.13</v>
      </c>
      <c r="H8" s="38">
        <v>5600</v>
      </c>
      <c r="I8" s="38">
        <v>5600</v>
      </c>
      <c r="J8" s="38">
        <v>5000</v>
      </c>
      <c r="K8" s="38"/>
      <c r="L8" s="38">
        <v>59.26</v>
      </c>
      <c r="M8" s="38"/>
      <c r="N8" s="38">
        <v>34431.42</v>
      </c>
      <c r="O8" s="38"/>
    </row>
    <row r="9" spans="1:14">
      <c r="A9" s="38" t="s">
        <v>63</v>
      </c>
      <c r="B9" s="38"/>
      <c r="C9" s="38"/>
      <c r="D9" s="38">
        <v>2000</v>
      </c>
      <c r="E9" s="38"/>
      <c r="F9" s="38">
        <v>6500</v>
      </c>
      <c r="G9" s="38"/>
      <c r="H9" s="38">
        <v>4500</v>
      </c>
      <c r="I9" s="38">
        <v>4500</v>
      </c>
      <c r="J9" s="38"/>
      <c r="K9" s="38"/>
      <c r="L9" s="38"/>
      <c r="M9" s="38"/>
      <c r="N9" s="38">
        <v>17500</v>
      </c>
      <c r="O9" s="38"/>
    </row>
    <row r="10" spans="1:14">
      <c r="A10" s="38" t="s">
        <v>64</v>
      </c>
      <c r="B10" s="38">
        <v>548</v>
      </c>
      <c r="C10" s="38"/>
      <c r="D10" s="38"/>
      <c r="E10" s="38">
        <v>916.1</v>
      </c>
      <c r="F10" s="38"/>
      <c r="G10" s="38"/>
      <c r="H10" s="38">
        <v>883.3</v>
      </c>
      <c r="I10" s="38"/>
      <c r="J10" s="38"/>
      <c r="K10" s="38">
        <v>2243.4</v>
      </c>
      <c r="L10" s="38"/>
      <c r="M10" s="38">
        <v>1255.9</v>
      </c>
      <c r="N10" s="38">
        <v>5846.7</v>
      </c>
      <c r="O10" s="38"/>
    </row>
    <row r="11" spans="1:14">
      <c r="A11" s="38" t="s">
        <v>65</v>
      </c>
      <c r="B11" s="38">
        <v>434.75</v>
      </c>
      <c r="C11" s="38">
        <v>613.96</v>
      </c>
      <c r="D11" s="38">
        <v>250</v>
      </c>
      <c r="E11" s="38">
        <v>200</v>
      </c>
      <c r="F11" s="38">
        <v>1401.86</v>
      </c>
      <c r="G11" s="38"/>
      <c r="H11" s="38">
        <v>3967.69</v>
      </c>
      <c r="I11" s="38">
        <v>4650</v>
      </c>
      <c r="J11" s="38">
        <v>4300</v>
      </c>
      <c r="K11" s="38">
        <v>8501.16</v>
      </c>
      <c r="L11" s="38">
        <v>3802.26</v>
      </c>
      <c r="M11" s="38">
        <v>2071.45</v>
      </c>
      <c r="N11" s="38">
        <v>30193.13</v>
      </c>
      <c r="O11" s="38"/>
    </row>
    <row r="12" spans="1:14">
      <c r="A12" s="38" t="s">
        <v>66</v>
      </c>
      <c r="B12" s="38"/>
      <c r="C12" s="38"/>
      <c r="D12" s="38"/>
      <c r="E12" s="38"/>
      <c r="F12" s="38"/>
      <c r="G12" s="38"/>
      <c r="H12" s="38"/>
      <c r="I12" s="38"/>
      <c r="J12" s="38"/>
      <c r="K12" s="38">
        <v>5000</v>
      </c>
      <c r="L12" s="38"/>
      <c r="M12" s="38"/>
      <c r="N12" s="38">
        <v>5000</v>
      </c>
      <c r="O12" s="38"/>
    </row>
    <row r="13" spans="1:14">
      <c r="A13" s="38" t="s">
        <v>112</v>
      </c>
      <c r="B13" s="38"/>
      <c r="C13" s="38"/>
      <c r="D13" s="38"/>
      <c r="E13" s="38"/>
      <c r="F13" s="38"/>
      <c r="G13" s="38"/>
      <c r="H13" s="38">
        <v>-7600</v>
      </c>
      <c r="I13" s="38">
        <v>-7600</v>
      </c>
      <c r="J13" s="38"/>
      <c r="K13" s="38"/>
      <c r="L13" s="38"/>
      <c r="M13" s="38"/>
      <c r="N13" s="38">
        <v>-15200</v>
      </c>
      <c r="O13" s="38"/>
    </row>
    <row r="14" spans="1:14">
      <c r="A14" s="22" t="s">
        <v>67</v>
      </c>
      <c r="B14" s="27">
        <v>68482.75</v>
      </c>
      <c r="C14" s="27">
        <v>43113.96</v>
      </c>
      <c r="D14" s="27">
        <v>47750</v>
      </c>
      <c r="E14" s="27">
        <v>44416.1</v>
      </c>
      <c r="F14" s="27">
        <v>83420.89</v>
      </c>
      <c r="G14" s="27">
        <v>70653.13</v>
      </c>
      <c r="H14" s="27">
        <v>64850.99</v>
      </c>
      <c r="I14" s="27">
        <v>52150</v>
      </c>
      <c r="J14" s="27">
        <v>76520.45</v>
      </c>
      <c r="K14" s="27">
        <v>60744.56</v>
      </c>
      <c r="L14" s="27">
        <v>113861.52</v>
      </c>
      <c r="M14" s="27">
        <v>79827.35</v>
      </c>
      <c r="N14" s="28">
        <v>805791.7</v>
      </c>
    </row>
    <row r="15" spans="1:14" ht="15.6">
      <c r="A15" s="38" t="s">
        <v>6</v>
      </c>
      <c r="B15" s="38"/>
      <c r="C15" s="38"/>
      <c r="D15" s="38"/>
      <c r="E15" s="38"/>
      <c r="F15" s="38"/>
      <c r="G15" s="38"/>
      <c r="H15" s="38"/>
      <c r="I15" s="38"/>
      <c r="J15" s="38"/>
      <c r="K15" s="38"/>
      <c r="L15" s="38"/>
      <c r="M15" s="38"/>
      <c r="N15" s="38"/>
      <c r="O15" s="38"/>
    </row>
    <row r="16" spans="1:14">
      <c r="A16" s="38" t="s">
        <v>124</v>
      </c>
      <c r="B16" s="38"/>
      <c r="C16" s="38"/>
      <c r="D16" s="38"/>
      <c r="E16" s="38"/>
      <c r="F16" s="38"/>
      <c r="G16" s="38"/>
      <c r="H16" s="38"/>
      <c r="I16" s="38"/>
      <c r="J16" s="38"/>
      <c r="K16" s="38"/>
      <c r="L16" s="38"/>
      <c r="M16" s="38">
        <v>32500</v>
      </c>
      <c r="N16" s="38">
        <v>32500</v>
      </c>
      <c r="O16" s="38"/>
    </row>
    <row r="17" spans="1:15">
      <c r="A17" s="38" t="s">
        <v>125</v>
      </c>
      <c r="B17" s="38"/>
      <c r="C17" s="38"/>
      <c r="D17" s="38"/>
      <c r="E17" s="38"/>
      <c r="F17" s="38"/>
      <c r="G17" s="38"/>
      <c r="H17" s="38"/>
      <c r="I17" s="38"/>
      <c r="J17" s="38"/>
      <c r="K17" s="38"/>
      <c r="L17" s="38"/>
      <c r="M17" s="38">
        <v>3452.26</v>
      </c>
      <c r="N17" s="38">
        <v>3452.26</v>
      </c>
      <c r="O17" s="38"/>
    </row>
    <row r="18" spans="1:15">
      <c r="A18" s="38" t="s">
        <v>126</v>
      </c>
      <c r="B18" s="38">
        <v>22428</v>
      </c>
      <c r="C18" s="38">
        <v>27564</v>
      </c>
      <c r="D18" s="38">
        <v>3693.74</v>
      </c>
      <c r="E18" s="38">
        <v>24495</v>
      </c>
      <c r="F18" s="38">
        <v>29342</v>
      </c>
      <c r="G18" s="38">
        <v>28693</v>
      </c>
      <c r="H18" s="38">
        <v>36832.5</v>
      </c>
      <c r="I18" s="38">
        <v>38227.5</v>
      </c>
      <c r="J18" s="38">
        <v>39574.5</v>
      </c>
      <c r="K18" s="38">
        <v>40062.78</v>
      </c>
      <c r="L18" s="38">
        <v>72477</v>
      </c>
      <c r="M18" s="38"/>
      <c r="N18" s="38">
        <v>363390.02</v>
      </c>
      <c r="O18" s="38"/>
    </row>
    <row r="19" spans="1:15">
      <c r="A19" s="21" t="s">
        <v>127</v>
      </c>
      <c r="B19" s="26">
        <v>553.68</v>
      </c>
      <c r="C19" s="26">
        <v>2067</v>
      </c>
      <c r="D19" s="26">
        <v>1830.75</v>
      </c>
      <c r="E19" s="26">
        <v>396.17</v>
      </c>
      <c r="F19" s="26">
        <v>452.41</v>
      </c>
      <c r="G19" s="26">
        <v>488.94</v>
      </c>
      <c r="H19" s="26">
        <v>2907.59</v>
      </c>
      <c r="I19" s="26">
        <v>3561.43</v>
      </c>
      <c r="J19" s="26">
        <v>1928.5</v>
      </c>
      <c r="K19" s="26">
        <v>2025.47</v>
      </c>
      <c r="L19" s="26">
        <v>2802.74</v>
      </c>
      <c r="M19" s="26">
        <v>1141.82</v>
      </c>
      <c r="N19" s="26">
        <v>20156.5</v>
      </c>
    </row>
    <row r="20" spans="1:15">
      <c r="A20" s="38" t="s">
        <v>68</v>
      </c>
      <c r="B20" s="38">
        <v>900.31</v>
      </c>
      <c r="C20" s="38">
        <v>628.61</v>
      </c>
      <c r="D20" s="38">
        <v>614.73</v>
      </c>
      <c r="E20" s="38">
        <v>198</v>
      </c>
      <c r="F20" s="38">
        <v>1737.74</v>
      </c>
      <c r="G20" s="38">
        <v>211</v>
      </c>
      <c r="H20" s="38"/>
      <c r="I20" s="38">
        <v>77.35</v>
      </c>
      <c r="J20" s="38"/>
      <c r="K20" s="38"/>
      <c r="L20" s="38"/>
      <c r="M20" s="38"/>
      <c r="N20" s="38">
        <v>4367.74</v>
      </c>
      <c r="O20" s="38"/>
    </row>
    <row r="21" spans="1:15">
      <c r="A21" s="22" t="s">
        <v>69</v>
      </c>
      <c r="B21" s="27">
        <v>23881.99</v>
      </c>
      <c r="C21" s="27">
        <v>30259.61</v>
      </c>
      <c r="D21" s="27">
        <v>6139.22</v>
      </c>
      <c r="E21" s="27">
        <v>25089.17</v>
      </c>
      <c r="F21" s="27">
        <v>31532.15</v>
      </c>
      <c r="G21" s="27">
        <v>29392.94</v>
      </c>
      <c r="H21" s="27">
        <v>39740.09</v>
      </c>
      <c r="I21" s="27">
        <v>41866.28</v>
      </c>
      <c r="J21" s="27">
        <v>41503</v>
      </c>
      <c r="K21" s="27">
        <v>42088.25</v>
      </c>
      <c r="L21" s="27">
        <v>75279.74</v>
      </c>
      <c r="M21" s="27">
        <v>37094.08</v>
      </c>
      <c r="N21" s="28">
        <v>423866.52</v>
      </c>
    </row>
    <row r="22" spans="1:15">
      <c r="A22" s="22" t="s">
        <v>7</v>
      </c>
      <c r="B22" s="27">
        <v>44600.76</v>
      </c>
      <c r="C22" s="27">
        <v>12854.35</v>
      </c>
      <c r="D22" s="27">
        <v>41610.78</v>
      </c>
      <c r="E22" s="27">
        <v>19326.93</v>
      </c>
      <c r="F22" s="27">
        <v>51888.74</v>
      </c>
      <c r="G22" s="27">
        <v>41260.19</v>
      </c>
      <c r="H22" s="27">
        <v>25110.9</v>
      </c>
      <c r="I22" s="27">
        <v>10283.72</v>
      </c>
      <c r="J22" s="27">
        <v>35017.45</v>
      </c>
      <c r="K22" s="27">
        <v>18656.31</v>
      </c>
      <c r="L22" s="27">
        <v>38581.78</v>
      </c>
      <c r="M22" s="27">
        <v>42733.27</v>
      </c>
      <c r="N22" s="28">
        <v>381925.18</v>
      </c>
    </row>
    <row r="23" spans="1:15" ht="15.6">
      <c r="A23" s="38" t="s">
        <v>8</v>
      </c>
      <c r="B23" s="38"/>
      <c r="C23" s="38"/>
      <c r="D23" s="38"/>
      <c r="E23" s="38"/>
      <c r="F23" s="38"/>
      <c r="G23" s="38"/>
      <c r="H23" s="38"/>
      <c r="I23" s="38"/>
      <c r="J23" s="38"/>
      <c r="K23" s="38"/>
      <c r="L23" s="38"/>
      <c r="M23" s="38"/>
      <c r="N23" s="38"/>
      <c r="O23" s="38"/>
    </row>
    <row r="24" spans="1:15">
      <c r="A24" s="21" t="s">
        <v>70</v>
      </c>
      <c r="B24" s="26">
        <v>80</v>
      </c>
      <c r="C24" s="26">
        <v>154.19</v>
      </c>
      <c r="D24" s="26">
        <v>2242.65</v>
      </c>
      <c r="E24" s="26">
        <v>-1180.99</v>
      </c>
      <c r="F24" s="26">
        <v>799</v>
      </c>
      <c r="G24" s="26">
        <v>725.31</v>
      </c>
      <c r="H24" s="26">
        <v>7010.41</v>
      </c>
      <c r="I24" s="26">
        <v>5043.22</v>
      </c>
      <c r="J24" s="26">
        <v>11683.74</v>
      </c>
      <c r="K24" s="26">
        <v>3127</v>
      </c>
      <c r="L24" s="26">
        <v>3800.92</v>
      </c>
      <c r="M24" s="26">
        <v>1865</v>
      </c>
      <c r="N24" s="26">
        <v>35350.45</v>
      </c>
    </row>
    <row r="25" spans="1:15">
      <c r="A25" s="21" t="s">
        <v>71</v>
      </c>
      <c r="B25" s="26">
        <v>25</v>
      </c>
      <c r="C25" s="26">
        <v>50</v>
      </c>
      <c r="D25" s="26">
        <v>400</v>
      </c>
      <c r="E25" s="26">
        <v>25</v>
      </c>
      <c r="F25" s="26">
        <v>50</v>
      </c>
      <c r="G25" s="26">
        <v>745</v>
      </c>
      <c r="H25" s="26">
        <v>25</v>
      </c>
      <c r="I25" s="26">
        <v>15</v>
      </c>
      <c r="J25" s="26">
        <v>15</v>
      </c>
      <c r="K25" s="26">
        <v>40</v>
      </c>
      <c r="L25" s="26">
        <v>40</v>
      </c>
      <c r="M25" s="26">
        <v>495</v>
      </c>
      <c r="N25" s="26">
        <v>1925</v>
      </c>
    </row>
    <row r="26" spans="1:15">
      <c r="A26" s="38" t="s">
        <v>72</v>
      </c>
      <c r="B26" s="38"/>
      <c r="C26" s="38"/>
      <c r="D26" s="38"/>
      <c r="E26" s="38"/>
      <c r="F26" s="38"/>
      <c r="G26" s="38"/>
      <c r="H26" s="38"/>
      <c r="I26" s="38"/>
      <c r="J26" s="38">
        <v>21.03</v>
      </c>
      <c r="K26" s="38"/>
      <c r="L26" s="38">
        <v>150.31</v>
      </c>
      <c r="M26" s="38"/>
      <c r="N26" s="38">
        <v>171.34</v>
      </c>
      <c r="O26" s="38"/>
    </row>
    <row r="27" spans="1:15">
      <c r="A27" s="38" t="s">
        <v>73</v>
      </c>
      <c r="B27" s="38"/>
      <c r="C27" s="38"/>
      <c r="D27" s="38"/>
      <c r="E27" s="38"/>
      <c r="F27" s="38"/>
      <c r="G27" s="38"/>
      <c r="H27" s="38"/>
      <c r="I27" s="38"/>
      <c r="J27" s="38"/>
      <c r="K27" s="38">
        <v>210</v>
      </c>
      <c r="L27" s="38"/>
      <c r="M27" s="38"/>
      <c r="N27" s="38">
        <v>210</v>
      </c>
      <c r="O27" s="38"/>
    </row>
    <row r="28" spans="1:15">
      <c r="A28" s="38" t="s">
        <v>74</v>
      </c>
      <c r="B28" s="38"/>
      <c r="C28" s="38"/>
      <c r="D28" s="38">
        <v>47</v>
      </c>
      <c r="E28" s="38"/>
      <c r="F28" s="38"/>
      <c r="G28" s="38"/>
      <c r="H28" s="38"/>
      <c r="I28" s="38"/>
      <c r="J28" s="38"/>
      <c r="K28" s="38"/>
      <c r="L28" s="38"/>
      <c r="M28" s="38"/>
      <c r="N28" s="38">
        <v>47</v>
      </c>
      <c r="O28" s="38"/>
    </row>
    <row r="29" spans="1:15">
      <c r="A29" s="38" t="s">
        <v>75</v>
      </c>
      <c r="B29" s="38"/>
      <c r="C29" s="38"/>
      <c r="D29" s="38"/>
      <c r="E29" s="38"/>
      <c r="F29" s="38"/>
      <c r="G29" s="38"/>
      <c r="H29" s="38"/>
      <c r="I29" s="38"/>
      <c r="J29" s="38"/>
      <c r="K29" s="38"/>
      <c r="L29" s="38"/>
      <c r="M29" s="38"/>
      <c r="N29" s="38"/>
      <c r="O29" s="38"/>
    </row>
    <row r="30" spans="1:15">
      <c r="A30" s="23" t="s">
        <v>76</v>
      </c>
      <c r="B30" s="26">
        <v>182.97</v>
      </c>
      <c r="C30" s="26">
        <v>283.96</v>
      </c>
      <c r="D30" s="26">
        <v>240.9</v>
      </c>
      <c r="E30" s="26">
        <v>228.89</v>
      </c>
      <c r="F30" s="26">
        <v>228.68</v>
      </c>
      <c r="G30" s="26">
        <v>488.89</v>
      </c>
      <c r="H30" s="26">
        <v>227.67</v>
      </c>
      <c r="I30" s="26">
        <v>233.49</v>
      </c>
      <c r="J30" s="26">
        <v>199.7</v>
      </c>
      <c r="K30" s="26">
        <v>229.9</v>
      </c>
      <c r="L30" s="26">
        <v>195.94</v>
      </c>
      <c r="M30" s="26">
        <v>225.93</v>
      </c>
      <c r="N30" s="26">
        <v>2966.92</v>
      </c>
    </row>
    <row r="31" spans="1:15">
      <c r="A31" s="23" t="s">
        <v>77</v>
      </c>
      <c r="B31" s="26">
        <v>244.33</v>
      </c>
      <c r="C31" s="26">
        <v>541.77</v>
      </c>
      <c r="D31" s="26">
        <v>706.12</v>
      </c>
      <c r="E31" s="26">
        <v>315.54</v>
      </c>
      <c r="F31" s="26">
        <v>161.89</v>
      </c>
      <c r="G31" s="26">
        <v>1145.64</v>
      </c>
      <c r="H31" s="26">
        <v>1079.4</v>
      </c>
      <c r="I31" s="26">
        <v>702.08</v>
      </c>
      <c r="J31" s="26">
        <v>1560.89</v>
      </c>
      <c r="K31" s="26">
        <v>1673.05</v>
      </c>
      <c r="L31" s="26">
        <v>1127.99</v>
      </c>
      <c r="M31" s="26">
        <v>1490.13</v>
      </c>
      <c r="N31" s="26">
        <v>10748.83</v>
      </c>
    </row>
    <row r="32" spans="1:15">
      <c r="A32" s="23" t="s">
        <v>78</v>
      </c>
      <c r="B32" s="26">
        <v>177.65</v>
      </c>
      <c r="C32" s="26">
        <v>177.65</v>
      </c>
      <c r="D32" s="26">
        <v>177.66</v>
      </c>
      <c r="E32" s="26">
        <v>187.47</v>
      </c>
      <c r="F32" s="26">
        <v>187.47</v>
      </c>
      <c r="G32" s="26">
        <v>286.25</v>
      </c>
      <c r="H32" s="26">
        <v>187.45</v>
      </c>
      <c r="I32" s="26">
        <v>187.45</v>
      </c>
      <c r="J32" s="26">
        <v>187.49</v>
      </c>
      <c r="K32" s="26">
        <v>187.49</v>
      </c>
      <c r="L32" s="26">
        <v>230.26</v>
      </c>
      <c r="M32" s="26">
        <v>182.52</v>
      </c>
      <c r="N32" s="26">
        <v>2356.81</v>
      </c>
      <c r="O32" s="18"/>
    </row>
    <row r="33" spans="1:15">
      <c r="A33" s="38" t="s">
        <v>79</v>
      </c>
      <c r="B33" s="38"/>
      <c r="C33" s="38"/>
      <c r="D33" s="38"/>
      <c r="E33" s="38">
        <v>45</v>
      </c>
      <c r="F33" s="38">
        <v>45.89</v>
      </c>
      <c r="G33" s="38">
        <v>210</v>
      </c>
      <c r="H33" s="38">
        <v>10</v>
      </c>
      <c r="I33" s="38"/>
      <c r="J33" s="38"/>
      <c r="K33" s="38">
        <v>117.15</v>
      </c>
      <c r="L33" s="38"/>
      <c r="M33" s="38"/>
      <c r="N33" s="38">
        <v>428.04</v>
      </c>
      <c r="O33" s="38"/>
    </row>
    <row r="34" spans="1:15">
      <c r="A34" s="23" t="s">
        <v>80</v>
      </c>
      <c r="B34" s="26">
        <v>203</v>
      </c>
      <c r="C34" s="26">
        <v>523.11</v>
      </c>
      <c r="D34" s="26">
        <v>175</v>
      </c>
      <c r="E34" s="26">
        <v>302.97</v>
      </c>
      <c r="F34" s="26">
        <v>229.87</v>
      </c>
      <c r="G34" s="26">
        <v>1710.99</v>
      </c>
      <c r="H34" s="26">
        <v>571.61</v>
      </c>
      <c r="I34" s="26">
        <v>511.47</v>
      </c>
      <c r="J34" s="26">
        <v>530.46</v>
      </c>
      <c r="K34" s="26">
        <v>403.85</v>
      </c>
      <c r="L34" s="26">
        <v>623.65</v>
      </c>
      <c r="M34" s="26">
        <v>586.48</v>
      </c>
      <c r="N34" s="26">
        <v>6372.46</v>
      </c>
    </row>
    <row r="35" spans="1:15" ht="21.6" customHeight="true">
      <c r="A35" s="24" t="s">
        <v>81</v>
      </c>
      <c r="B35" s="27">
        <v>807.95</v>
      </c>
      <c r="C35" s="27">
        <v>1526.49</v>
      </c>
      <c r="D35" s="27">
        <v>1299.68</v>
      </c>
      <c r="E35" s="27">
        <v>1079.87</v>
      </c>
      <c r="F35" s="27">
        <v>853.8</v>
      </c>
      <c r="G35" s="27">
        <v>3841.77</v>
      </c>
      <c r="H35" s="27">
        <v>2076.13</v>
      </c>
      <c r="I35" s="27">
        <v>1634.49</v>
      </c>
      <c r="J35" s="27">
        <v>2478.54</v>
      </c>
      <c r="K35" s="27">
        <v>2611.44</v>
      </c>
      <c r="L35" s="27">
        <v>2177.84</v>
      </c>
      <c r="M35" s="27">
        <v>2485.06</v>
      </c>
      <c r="N35" s="28">
        <v>22873.06</v>
      </c>
    </row>
    <row r="36" spans="1:15">
      <c r="A36" s="21" t="s">
        <v>82</v>
      </c>
      <c r="B36" s="26">
        <v>292.5</v>
      </c>
      <c r="C36" s="26">
        <v>195.6</v>
      </c>
      <c r="D36" s="26">
        <v>1186.1</v>
      </c>
      <c r="E36" s="26">
        <v>1572.16</v>
      </c>
      <c r="F36" s="26">
        <v>483.36</v>
      </c>
      <c r="G36" s="26">
        <v>1119.75</v>
      </c>
      <c r="H36" s="26">
        <v>492.86</v>
      </c>
      <c r="I36" s="26">
        <v>391.76</v>
      </c>
      <c r="J36" s="26">
        <v>1447.17</v>
      </c>
      <c r="K36" s="26">
        <v>860</v>
      </c>
      <c r="L36" s="26">
        <v>924.87</v>
      </c>
      <c r="M36" s="26">
        <v>34.85</v>
      </c>
      <c r="N36" s="26">
        <v>9000.98</v>
      </c>
    </row>
    <row r="37" spans="1:15">
      <c r="A37" s="38" t="s">
        <v>83</v>
      </c>
      <c r="B37" s="38"/>
      <c r="C37" s="38"/>
      <c r="D37" s="38"/>
      <c r="E37" s="38">
        <v>633.87</v>
      </c>
      <c r="F37" s="38"/>
      <c r="G37" s="38">
        <v>623.68</v>
      </c>
      <c r="H37" s="38">
        <v>311.84</v>
      </c>
      <c r="I37" s="38">
        <v>326.7</v>
      </c>
      <c r="J37" s="38">
        <v>326.7</v>
      </c>
      <c r="K37" s="38"/>
      <c r="L37" s="38">
        <v>653.4</v>
      </c>
      <c r="M37" s="38">
        <v>326.7</v>
      </c>
      <c r="N37" s="38">
        <v>3202.89</v>
      </c>
      <c r="O37" s="38"/>
    </row>
    <row r="38" spans="1:15">
      <c r="A38" s="38" t="s">
        <v>84</v>
      </c>
      <c r="B38" s="38"/>
      <c r="C38" s="38"/>
      <c r="D38" s="38"/>
      <c r="E38" s="38"/>
      <c r="F38" s="38"/>
      <c r="G38" s="38"/>
      <c r="H38" s="38"/>
      <c r="I38" s="38"/>
      <c r="J38" s="38"/>
      <c r="K38" s="38"/>
      <c r="L38" s="38"/>
      <c r="M38" s="38"/>
      <c r="N38" s="38"/>
      <c r="O38" s="38"/>
    </row>
    <row r="39" spans="1:15">
      <c r="A39" s="38" t="s">
        <v>113</v>
      </c>
      <c r="B39" s="38"/>
      <c r="C39" s="38"/>
      <c r="D39" s="38"/>
      <c r="E39" s="38"/>
      <c r="F39" s="38"/>
      <c r="G39" s="38"/>
      <c r="H39" s="38"/>
      <c r="I39" s="38"/>
      <c r="J39" s="38"/>
      <c r="K39" s="38"/>
      <c r="L39" s="38">
        <v>52416.67</v>
      </c>
      <c r="M39" s="38">
        <v>4583.34</v>
      </c>
      <c r="N39" s="38">
        <v>57000.01</v>
      </c>
      <c r="O39" s="38"/>
    </row>
    <row r="40" spans="1:15">
      <c r="A40" s="38" t="s">
        <v>85</v>
      </c>
      <c r="B40" s="38"/>
      <c r="C40" s="38"/>
      <c r="D40" s="38"/>
      <c r="E40" s="38"/>
      <c r="F40" s="38"/>
      <c r="G40" s="38"/>
      <c r="H40" s="38"/>
      <c r="I40" s="38"/>
      <c r="J40" s="38"/>
      <c r="K40" s="38"/>
      <c r="L40" s="38">
        <v>4422.87</v>
      </c>
      <c r="M40" s="38">
        <v>492.7</v>
      </c>
      <c r="N40" s="38">
        <v>4915.57</v>
      </c>
      <c r="O40" s="38"/>
    </row>
    <row r="41" spans="1:15">
      <c r="A41" s="38" t="s">
        <v>121</v>
      </c>
      <c r="B41" s="38"/>
      <c r="C41" s="38"/>
      <c r="D41" s="38"/>
      <c r="E41" s="38"/>
      <c r="F41" s="38"/>
      <c r="G41" s="38"/>
      <c r="H41" s="38"/>
      <c r="I41" s="38"/>
      <c r="J41" s="38"/>
      <c r="K41" s="38"/>
      <c r="L41" s="38"/>
      <c r="M41" s="38">
        <v>180</v>
      </c>
      <c r="N41" s="38">
        <v>180</v>
      </c>
      <c r="O41" s="38"/>
    </row>
    <row r="42" spans="1:15">
      <c r="A42" s="38" t="s">
        <v>86</v>
      </c>
      <c r="B42" s="38"/>
      <c r="C42" s="38"/>
      <c r="D42" s="38"/>
      <c r="E42" s="38"/>
      <c r="F42" s="38"/>
      <c r="G42" s="38"/>
      <c r="H42" s="38"/>
      <c r="I42" s="38"/>
      <c r="J42" s="38"/>
      <c r="K42" s="38"/>
      <c r="L42" s="38">
        <v>56839.54</v>
      </c>
      <c r="M42" s="38">
        <v>5256.04</v>
      </c>
      <c r="N42" s="38">
        <v>62095.58</v>
      </c>
      <c r="O42" s="38"/>
    </row>
    <row r="43" spans="1:15">
      <c r="A43" s="38" t="s">
        <v>87</v>
      </c>
      <c r="B43" s="38"/>
      <c r="C43" s="38"/>
      <c r="D43" s="38"/>
      <c r="E43" s="38"/>
      <c r="F43" s="38"/>
      <c r="G43" s="38"/>
      <c r="H43" s="38"/>
      <c r="I43" s="38"/>
      <c r="J43" s="38"/>
      <c r="K43" s="38"/>
      <c r="L43" s="38"/>
      <c r="M43" s="38"/>
      <c r="N43" s="38"/>
      <c r="O43" s="38"/>
    </row>
    <row r="44" spans="1:15">
      <c r="A44" s="38" t="s">
        <v>88</v>
      </c>
      <c r="B44" s="38"/>
      <c r="C44" s="38"/>
      <c r="D44" s="38"/>
      <c r="E44" s="38"/>
      <c r="F44" s="38">
        <v>3000</v>
      </c>
      <c r="G44" s="38">
        <v>1200</v>
      </c>
      <c r="H44" s="38">
        <v>1200</v>
      </c>
      <c r="I44" s="38">
        <v>1200</v>
      </c>
      <c r="J44" s="38">
        <v>3425</v>
      </c>
      <c r="K44" s="38"/>
      <c r="L44" s="38">
        <v>1200</v>
      </c>
      <c r="M44" s="38">
        <v>2550</v>
      </c>
      <c r="N44" s="38">
        <v>13775</v>
      </c>
      <c r="O44" s="38"/>
    </row>
    <row r="45" spans="1:15">
      <c r="A45" s="38" t="s">
        <v>89</v>
      </c>
      <c r="B45" s="38"/>
      <c r="C45" s="38"/>
      <c r="D45" s="38"/>
      <c r="E45" s="38"/>
      <c r="F45" s="38">
        <v>2000</v>
      </c>
      <c r="G45" s="38">
        <v>2000</v>
      </c>
      <c r="H45" s="38">
        <v>2250</v>
      </c>
      <c r="I45" s="38">
        <v>2000</v>
      </c>
      <c r="J45" s="38">
        <v>2000</v>
      </c>
      <c r="K45" s="38">
        <v>2000</v>
      </c>
      <c r="L45" s="38">
        <v>2000</v>
      </c>
      <c r="M45" s="38">
        <v>2000</v>
      </c>
      <c r="N45" s="38">
        <v>16250</v>
      </c>
      <c r="O45" s="38"/>
    </row>
    <row r="46" spans="1:15">
      <c r="A46" s="38" t="s">
        <v>90</v>
      </c>
      <c r="B46" s="38"/>
      <c r="C46" s="38"/>
      <c r="D46" s="38"/>
      <c r="E46" s="38"/>
      <c r="F46" s="38"/>
      <c r="G46" s="38"/>
      <c r="H46" s="38"/>
      <c r="I46" s="38"/>
      <c r="J46" s="38">
        <v>1322.5</v>
      </c>
      <c r="K46" s="38"/>
      <c r="L46" s="38"/>
      <c r="M46" s="38"/>
      <c r="N46" s="38">
        <v>1322.5</v>
      </c>
      <c r="O46" s="38"/>
    </row>
    <row r="47" spans="1:15">
      <c r="A47" s="38" t="s">
        <v>91</v>
      </c>
      <c r="B47" s="38"/>
      <c r="C47" s="38"/>
      <c r="D47" s="38"/>
      <c r="E47" s="38"/>
      <c r="F47" s="38">
        <v>5000</v>
      </c>
      <c r="G47" s="38">
        <v>3200</v>
      </c>
      <c r="H47" s="38">
        <v>3450</v>
      </c>
      <c r="I47" s="38">
        <v>3200</v>
      </c>
      <c r="J47" s="38">
        <v>6747.5</v>
      </c>
      <c r="K47" s="38">
        <v>2000</v>
      </c>
      <c r="L47" s="38">
        <v>3200</v>
      </c>
      <c r="M47" s="38">
        <v>4550</v>
      </c>
      <c r="N47" s="38">
        <v>31347.5</v>
      </c>
      <c r="O47" s="38"/>
    </row>
    <row r="48" spans="1:15">
      <c r="A48" s="21" t="s">
        <v>92</v>
      </c>
      <c r="B48" s="26">
        <v>80</v>
      </c>
      <c r="C48" s="26">
        <v>60</v>
      </c>
      <c r="D48" s="26">
        <v>60</v>
      </c>
      <c r="E48" s="26">
        <v>100</v>
      </c>
      <c r="F48" s="26">
        <v>60</v>
      </c>
      <c r="G48" s="26">
        <v>40</v>
      </c>
      <c r="H48" s="26">
        <v>40</v>
      </c>
      <c r="I48" s="26">
        <v>40</v>
      </c>
      <c r="J48" s="26">
        <v>40</v>
      </c>
      <c r="K48" s="26">
        <v>40</v>
      </c>
      <c r="L48" s="26">
        <v>20</v>
      </c>
      <c r="M48" s="26">
        <v>20</v>
      </c>
      <c r="N48" s="26">
        <v>600</v>
      </c>
    </row>
    <row r="49" spans="1:14">
      <c r="A49" s="38" t="s">
        <v>93</v>
      </c>
      <c r="B49" s="38">
        <v>4800</v>
      </c>
      <c r="C49" s="38">
        <v>4800</v>
      </c>
      <c r="D49" s="38">
        <v>4835</v>
      </c>
      <c r="E49" s="38">
        <v>4800</v>
      </c>
      <c r="F49" s="38">
        <v>4800</v>
      </c>
      <c r="G49" s="38">
        <v>4800</v>
      </c>
      <c r="H49" s="38">
        <v>4810</v>
      </c>
      <c r="I49" s="38"/>
      <c r="J49" s="38">
        <v>5066</v>
      </c>
      <c r="K49" s="38">
        <v>5152.99</v>
      </c>
      <c r="L49" s="38">
        <v>10000</v>
      </c>
      <c r="M49" s="38"/>
      <c r="N49" s="38">
        <v>53863.99</v>
      </c>
      <c r="O49" s="38"/>
    </row>
    <row r="50" spans="1:14">
      <c r="A50" s="38" t="s">
        <v>122</v>
      </c>
      <c r="B50" s="38"/>
      <c r="C50" s="38"/>
      <c r="D50" s="38"/>
      <c r="E50" s="38"/>
      <c r="F50" s="38"/>
      <c r="G50" s="38"/>
      <c r="H50" s="38"/>
      <c r="I50" s="38"/>
      <c r="J50" s="38"/>
      <c r="K50" s="38"/>
      <c r="L50" s="38"/>
      <c r="M50" s="38">
        <v>20</v>
      </c>
      <c r="N50" s="38">
        <v>20</v>
      </c>
      <c r="O50" s="38"/>
    </row>
    <row r="51" spans="1:14">
      <c r="A51" s="38" t="s">
        <v>94</v>
      </c>
      <c r="B51" s="38"/>
      <c r="C51" s="38"/>
      <c r="D51" s="38"/>
      <c r="E51" s="38"/>
      <c r="F51" s="38"/>
      <c r="G51" s="38"/>
      <c r="H51" s="38"/>
      <c r="I51" s="38"/>
      <c r="J51" s="38"/>
      <c r="K51" s="38"/>
      <c r="L51" s="38"/>
      <c r="M51" s="38"/>
      <c r="N51" s="38"/>
      <c r="O51" s="38"/>
    </row>
    <row r="52" spans="1:14">
      <c r="A52" s="38" t="s">
        <v>95</v>
      </c>
      <c r="B52" s="38"/>
      <c r="C52" s="38"/>
      <c r="D52" s="38">
        <v>624.5</v>
      </c>
      <c r="E52" s="38">
        <v>538.85</v>
      </c>
      <c r="F52" s="38">
        <v>196.57</v>
      </c>
      <c r="G52" s="38">
        <v>1152.97</v>
      </c>
      <c r="H52" s="38">
        <v>175</v>
      </c>
      <c r="I52" s="38">
        <v>119</v>
      </c>
      <c r="J52" s="38">
        <v>751.93</v>
      </c>
      <c r="K52" s="38">
        <v>3015.81</v>
      </c>
      <c r="L52" s="38">
        <v>81</v>
      </c>
      <c r="M52" s="38">
        <v>-15</v>
      </c>
      <c r="N52" s="38">
        <v>6640.63</v>
      </c>
      <c r="O52" s="38"/>
    </row>
    <row r="53" spans="1:14">
      <c r="A53" s="38" t="s">
        <v>96</v>
      </c>
      <c r="B53" s="38">
        <v>8.62</v>
      </c>
      <c r="C53" s="38"/>
      <c r="D53" s="38"/>
      <c r="E53" s="38">
        <v>862.31</v>
      </c>
      <c r="F53" s="38">
        <v>7470.4</v>
      </c>
      <c r="G53" s="38"/>
      <c r="H53" s="38">
        <v>1434.34</v>
      </c>
      <c r="I53" s="38">
        <v>1349.36</v>
      </c>
      <c r="J53" s="38">
        <v>1006.94</v>
      </c>
      <c r="K53" s="38">
        <v>7738.75</v>
      </c>
      <c r="L53" s="38">
        <v>230.72</v>
      </c>
      <c r="M53" s="38">
        <v>102.2</v>
      </c>
      <c r="N53" s="38">
        <v>20203.64</v>
      </c>
      <c r="O53" s="38"/>
    </row>
    <row r="54" spans="1:14">
      <c r="A54" s="38" t="s">
        <v>97</v>
      </c>
      <c r="B54" s="38"/>
      <c r="C54" s="38"/>
      <c r="D54" s="38">
        <v>393.73</v>
      </c>
      <c r="E54" s="38">
        <v>30</v>
      </c>
      <c r="F54" s="38">
        <v>836.86</v>
      </c>
      <c r="G54" s="38">
        <v>304.74</v>
      </c>
      <c r="H54" s="38">
        <v>135.61</v>
      </c>
      <c r="I54" s="38"/>
      <c r="J54" s="38">
        <v>350.54</v>
      </c>
      <c r="K54" s="38">
        <v>508.15</v>
      </c>
      <c r="L54" s="38">
        <v>987.73</v>
      </c>
      <c r="M54" s="38"/>
      <c r="N54" s="38">
        <v>3547.36</v>
      </c>
      <c r="O54" s="38"/>
    </row>
    <row r="55" spans="1:14">
      <c r="A55" s="38" t="s">
        <v>98</v>
      </c>
      <c r="B55" s="38">
        <v>8.62</v>
      </c>
      <c r="C55" s="38"/>
      <c r="D55" s="38">
        <v>1018.23</v>
      </c>
      <c r="E55" s="38">
        <v>1431.16</v>
      </c>
      <c r="F55" s="38">
        <v>8503.83</v>
      </c>
      <c r="G55" s="38">
        <v>1457.71</v>
      </c>
      <c r="H55" s="38">
        <v>1744.95</v>
      </c>
      <c r="I55" s="38">
        <v>1468.36</v>
      </c>
      <c r="J55" s="38">
        <v>2109.41</v>
      </c>
      <c r="K55" s="38">
        <v>11262.71</v>
      </c>
      <c r="L55" s="38">
        <v>1299.45</v>
      </c>
      <c r="M55" s="38">
        <v>87.2</v>
      </c>
      <c r="N55" s="38">
        <v>30391.63</v>
      </c>
      <c r="O55" s="38"/>
    </row>
    <row r="56" spans="1:14">
      <c r="A56" s="38" t="s">
        <v>99</v>
      </c>
      <c r="B56" s="38"/>
      <c r="C56" s="38"/>
      <c r="D56" s="38"/>
      <c r="E56" s="38"/>
      <c r="F56" s="38"/>
      <c r="G56" s="38"/>
      <c r="H56" s="38"/>
      <c r="I56" s="38"/>
      <c r="J56" s="38"/>
      <c r="K56" s="38"/>
      <c r="L56" s="38"/>
      <c r="M56" s="38"/>
      <c r="N56" s="38"/>
      <c r="O56" s="38"/>
    </row>
    <row r="57" spans="1:14">
      <c r="A57" s="23" t="s">
        <v>100</v>
      </c>
      <c r="B57" s="26">
        <v>106.57</v>
      </c>
      <c r="C57" s="26">
        <v>331.84</v>
      </c>
      <c r="D57" s="26">
        <v>116.33</v>
      </c>
      <c r="E57" s="26">
        <v>295.59</v>
      </c>
      <c r="F57" s="26">
        <v>210.61</v>
      </c>
      <c r="G57" s="26">
        <v>187.07</v>
      </c>
      <c r="H57" s="26">
        <v>113.58</v>
      </c>
      <c r="I57" s="26">
        <v>228.16</v>
      </c>
      <c r="J57" s="26">
        <v>287.98</v>
      </c>
      <c r="K57" s="26">
        <v>114.4</v>
      </c>
      <c r="L57" s="26">
        <v>164.73</v>
      </c>
      <c r="M57" s="26">
        <v>150.36</v>
      </c>
      <c r="N57" s="26">
        <v>2307.22</v>
      </c>
    </row>
    <row r="58" spans="1:14">
      <c r="A58" s="23" t="s">
        <v>101</v>
      </c>
      <c r="B58" s="26">
        <v>1507.48</v>
      </c>
      <c r="C58" s="26">
        <v>1507.48</v>
      </c>
      <c r="D58" s="26">
        <v>1507.48</v>
      </c>
      <c r="E58" s="26">
        <v>1507.48</v>
      </c>
      <c r="F58" s="26">
        <v>1507.48</v>
      </c>
      <c r="G58" s="26">
        <v>1858.01</v>
      </c>
      <c r="H58" s="26">
        <v>1507.48</v>
      </c>
      <c r="I58" s="26">
        <v>1507.48</v>
      </c>
      <c r="J58" s="26">
        <v>1507.48</v>
      </c>
      <c r="K58" s="26">
        <v>1507.48</v>
      </c>
      <c r="L58" s="26">
        <v>1507.48</v>
      </c>
      <c r="M58" s="26">
        <v>1507.48</v>
      </c>
      <c r="N58" s="26">
        <v>18440.29</v>
      </c>
    </row>
    <row r="59" spans="1:14">
      <c r="A59" s="23" t="s">
        <v>102</v>
      </c>
      <c r="B59" s="26">
        <v>60.55</v>
      </c>
      <c r="C59" s="26">
        <v>45.99</v>
      </c>
      <c r="D59" s="26">
        <v>17.32</v>
      </c>
      <c r="E59" s="26">
        <v>88.97</v>
      </c>
      <c r="F59" s="26">
        <v>231.9</v>
      </c>
      <c r="G59" s="26">
        <v>47.46</v>
      </c>
      <c r="H59" s="26">
        <v>38.79</v>
      </c>
      <c r="I59" s="26">
        <v>32.1</v>
      </c>
      <c r="J59" s="26">
        <v>42.1</v>
      </c>
      <c r="K59" s="26">
        <v>43.24</v>
      </c>
      <c r="L59" s="26">
        <v>67.61</v>
      </c>
      <c r="M59" s="26">
        <v>91.84</v>
      </c>
      <c r="N59" s="26">
        <v>807.87</v>
      </c>
    </row>
    <row r="60" spans="1:14">
      <c r="A60" s="38" t="s">
        <v>103</v>
      </c>
      <c r="B60" s="38"/>
      <c r="C60" s="38">
        <v>16</v>
      </c>
      <c r="D60" s="38"/>
      <c r="E60" s="38"/>
      <c r="F60" s="38"/>
      <c r="G60" s="38">
        <v>16</v>
      </c>
      <c r="H60" s="38">
        <v>1004</v>
      </c>
      <c r="I60" s="38">
        <v>16</v>
      </c>
      <c r="J60" s="38"/>
      <c r="K60" s="38">
        <v>75</v>
      </c>
      <c r="L60" s="38">
        <v>19</v>
      </c>
      <c r="M60" s="38">
        <v>442.29</v>
      </c>
      <c r="N60" s="38">
        <v>1588.29</v>
      </c>
      <c r="O60" s="38"/>
    </row>
    <row r="61" spans="1:14">
      <c r="A61" s="24" t="s">
        <v>104</v>
      </c>
      <c r="B61" s="27">
        <v>1674.6</v>
      </c>
      <c r="C61" s="27">
        <v>1901.31</v>
      </c>
      <c r="D61" s="27">
        <v>1641.13</v>
      </c>
      <c r="E61" s="27">
        <v>1892.04</v>
      </c>
      <c r="F61" s="27">
        <v>1949.99</v>
      </c>
      <c r="G61" s="27">
        <v>2108.54</v>
      </c>
      <c r="H61" s="27">
        <v>2663.85</v>
      </c>
      <c r="I61" s="27">
        <v>1783.74</v>
      </c>
      <c r="J61" s="27">
        <v>1837.56</v>
      </c>
      <c r="K61" s="27">
        <v>1740.12</v>
      </c>
      <c r="L61" s="27">
        <v>1758.82</v>
      </c>
      <c r="M61" s="27">
        <v>2191.97</v>
      </c>
      <c r="N61" s="28">
        <v>23143.67</v>
      </c>
    </row>
    <row r="62" spans="1:14">
      <c r="A62" s="22" t="s">
        <v>105</v>
      </c>
      <c r="B62" s="27">
        <v>7768.67</v>
      </c>
      <c r="C62" s="27">
        <v>8687.59</v>
      </c>
      <c r="D62" s="27">
        <v>12729.79</v>
      </c>
      <c r="E62" s="27">
        <v>10353.11</v>
      </c>
      <c r="F62" s="27">
        <v>22499.98</v>
      </c>
      <c r="G62" s="27">
        <v>18661.76</v>
      </c>
      <c r="H62" s="27">
        <v>22625.04</v>
      </c>
      <c r="I62" s="27">
        <v>13903.27</v>
      </c>
      <c r="J62" s="27">
        <v>31772.65</v>
      </c>
      <c r="K62" s="27">
        <v>27044.26</v>
      </c>
      <c r="L62" s="27">
        <v>80865.15</v>
      </c>
      <c r="M62" s="27">
        <v>17331.82</v>
      </c>
      <c r="N62" s="28">
        <v>274243.09</v>
      </c>
    </row>
    <row r="63" spans="1:14">
      <c r="A63" s="22" t="s">
        <v>9</v>
      </c>
      <c r="B63" s="27">
        <v>36832.09</v>
      </c>
      <c r="C63" s="27">
        <v>4166.76</v>
      </c>
      <c r="D63" s="27">
        <v>28880.99</v>
      </c>
      <c r="E63" s="27">
        <v>8973.82</v>
      </c>
      <c r="F63" s="27">
        <v>29388.76</v>
      </c>
      <c r="G63" s="27">
        <v>22598.43</v>
      </c>
      <c r="H63" s="27">
        <v>2485.86000000001</v>
      </c>
      <c r="I63" s="27">
        <v>-3619.55</v>
      </c>
      <c r="J63" s="27">
        <v>3244.8</v>
      </c>
      <c r="K63" s="27">
        <v>-8387.95</v>
      </c>
      <c r="L63" s="27">
        <v>-42283.37</v>
      </c>
      <c r="M63" s="27">
        <v>25401.45</v>
      </c>
      <c r="N63" s="28">
        <v>107682.09</v>
      </c>
    </row>
    <row r="64" spans="1:14" ht="15.6">
      <c r="A64" s="38" t="s">
        <v>10</v>
      </c>
      <c r="B64" s="38"/>
      <c r="C64" s="38"/>
      <c r="D64" s="38"/>
      <c r="E64" s="38"/>
      <c r="F64" s="38"/>
      <c r="G64" s="38"/>
      <c r="H64" s="38"/>
      <c r="I64" s="38"/>
      <c r="J64" s="38"/>
      <c r="K64" s="38"/>
      <c r="L64" s="38"/>
      <c r="M64" s="38"/>
      <c r="N64" s="38"/>
      <c r="O64" s="38"/>
    </row>
    <row r="65" spans="1:14">
      <c r="A65" s="38" t="s">
        <v>106</v>
      </c>
      <c r="B65" s="38"/>
      <c r="C65" s="38"/>
      <c r="D65" s="38"/>
      <c r="E65" s="38"/>
      <c r="F65" s="38"/>
      <c r="G65" s="38"/>
      <c r="H65" s="38"/>
      <c r="I65" s="38"/>
      <c r="J65" s="38">
        <v>624.24</v>
      </c>
      <c r="K65" s="38"/>
      <c r="L65" s="38">
        <v>10</v>
      </c>
      <c r="M65" s="38"/>
      <c r="N65" s="38">
        <v>634.24</v>
      </c>
      <c r="O65" s="38"/>
    </row>
    <row r="66" spans="1:14">
      <c r="A66" s="38" t="s">
        <v>107</v>
      </c>
      <c r="B66" s="38"/>
      <c r="C66" s="38"/>
      <c r="D66" s="38"/>
      <c r="E66" s="38"/>
      <c r="F66" s="38"/>
      <c r="G66" s="38"/>
      <c r="H66" s="38"/>
      <c r="I66" s="38"/>
      <c r="J66" s="38">
        <v>624.24</v>
      </c>
      <c r="K66" s="38"/>
      <c r="L66" s="38">
        <v>10</v>
      </c>
      <c r="M66" s="38"/>
      <c r="N66" s="38">
        <v>634.24</v>
      </c>
      <c r="O66" s="38"/>
    </row>
    <row r="67" spans="1:14" ht="15.6">
      <c r="A67" s="38" t="s">
        <v>11</v>
      </c>
      <c r="B67" s="38"/>
      <c r="C67" s="38"/>
      <c r="D67" s="38"/>
      <c r="E67" s="38"/>
      <c r="F67" s="38"/>
      <c r="G67" s="38"/>
      <c r="H67" s="38"/>
      <c r="I67" s="38"/>
      <c r="J67" s="38"/>
      <c r="K67" s="38"/>
      <c r="L67" s="38"/>
      <c r="M67" s="38"/>
      <c r="N67" s="38"/>
      <c r="O67" s="38"/>
    </row>
    <row r="68" spans="1:14">
      <c r="A68" s="38" t="s">
        <v>108</v>
      </c>
      <c r="B68" s="38"/>
      <c r="C68" s="38"/>
      <c r="D68" s="38"/>
      <c r="E68" s="38"/>
      <c r="F68" s="38"/>
      <c r="G68" s="38"/>
      <c r="H68" s="38"/>
      <c r="I68" s="38"/>
      <c r="J68" s="38">
        <v>276.78</v>
      </c>
      <c r="K68" s="38"/>
      <c r="L68" s="38"/>
      <c r="M68" s="38"/>
      <c r="N68" s="38">
        <v>276.78</v>
      </c>
      <c r="O68" s="38"/>
    </row>
    <row r="69" spans="1:14">
      <c r="A69" s="21" t="s">
        <v>109</v>
      </c>
      <c r="B69" s="26">
        <v>169</v>
      </c>
      <c r="C69" s="26">
        <v>169</v>
      </c>
      <c r="D69" s="26">
        <v>169</v>
      </c>
      <c r="E69" s="26">
        <v>169</v>
      </c>
      <c r="F69" s="26">
        <v>169</v>
      </c>
      <c r="G69" s="26">
        <v>169</v>
      </c>
      <c r="H69" s="26">
        <v>169</v>
      </c>
      <c r="I69" s="26">
        <v>169</v>
      </c>
      <c r="J69" s="26">
        <v>169</v>
      </c>
      <c r="K69" s="26">
        <v>169</v>
      </c>
      <c r="L69" s="26">
        <v>169</v>
      </c>
      <c r="M69" s="26">
        <v>169</v>
      </c>
      <c r="N69" s="26">
        <v>2028</v>
      </c>
    </row>
    <row r="70" spans="1:14">
      <c r="A70" s="38" t="s">
        <v>110</v>
      </c>
      <c r="B70" s="38"/>
      <c r="C70" s="38"/>
      <c r="D70" s="38"/>
      <c r="E70" s="38"/>
      <c r="F70" s="38">
        <v>1000</v>
      </c>
      <c r="G70" s="38"/>
      <c r="H70" s="38"/>
      <c r="I70" s="38"/>
      <c r="J70" s="38"/>
      <c r="K70" s="38"/>
      <c r="L70" s="38"/>
      <c r="M70" s="38"/>
      <c r="N70" s="38">
        <v>1000</v>
      </c>
      <c r="O70" s="38"/>
    </row>
    <row r="71" spans="1:14">
      <c r="A71" s="22" t="s">
        <v>111</v>
      </c>
      <c r="B71" s="27">
        <v>169</v>
      </c>
      <c r="C71" s="27">
        <v>169</v>
      </c>
      <c r="D71" s="27">
        <v>169</v>
      </c>
      <c r="E71" s="27">
        <v>169</v>
      </c>
      <c r="F71" s="27">
        <v>1169</v>
      </c>
      <c r="G71" s="27">
        <v>169</v>
      </c>
      <c r="H71" s="27">
        <v>169</v>
      </c>
      <c r="I71" s="27">
        <v>169</v>
      </c>
      <c r="J71" s="27">
        <v>445.78</v>
      </c>
      <c r="K71" s="27">
        <v>169</v>
      </c>
      <c r="L71" s="27">
        <v>169</v>
      </c>
      <c r="M71" s="27">
        <v>169</v>
      </c>
      <c r="N71" s="28">
        <v>3304.78</v>
      </c>
    </row>
    <row r="72" spans="1:14">
      <c r="A72" s="22" t="s">
        <v>12</v>
      </c>
      <c r="B72" s="27">
        <v>-169</v>
      </c>
      <c r="C72" s="27">
        <v>-169</v>
      </c>
      <c r="D72" s="27">
        <v>-169</v>
      </c>
      <c r="E72" s="27">
        <v>-169</v>
      </c>
      <c r="F72" s="27">
        <v>-1169</v>
      </c>
      <c r="G72" s="27">
        <v>-169</v>
      </c>
      <c r="H72" s="27">
        <v>-169</v>
      </c>
      <c r="I72" s="27">
        <v>-169</v>
      </c>
      <c r="J72" s="27">
        <v>178.46</v>
      </c>
      <c r="K72" s="27">
        <v>-169</v>
      </c>
      <c r="L72" s="27">
        <v>-159</v>
      </c>
      <c r="M72" s="27">
        <v>-169</v>
      </c>
      <c r="N72" s="28">
        <v>-2670.54</v>
      </c>
    </row>
    <row r="73" spans="1:14">
      <c r="A73" s="22" t="s">
        <v>13</v>
      </c>
      <c r="B73" s="27">
        <v>36663.09</v>
      </c>
      <c r="C73" s="27">
        <v>3997.76</v>
      </c>
      <c r="D73" s="27">
        <v>28711.99</v>
      </c>
      <c r="E73" s="27">
        <v>8804.82</v>
      </c>
      <c r="F73" s="27">
        <v>28219.76</v>
      </c>
      <c r="G73" s="27">
        <v>22429.43</v>
      </c>
      <c r="H73" s="27">
        <v>2316.86000000001</v>
      </c>
      <c r="I73" s="27">
        <v>-3788.55</v>
      </c>
      <c r="J73" s="27">
        <v>3423.26</v>
      </c>
      <c r="K73" s="27">
        <v>-8556.95</v>
      </c>
      <c r="L73" s="27">
        <v>-42442.37</v>
      </c>
      <c r="M73" s="27">
        <v>25232.45</v>
      </c>
      <c r="N73" s="28">
        <v>105011.55</v>
      </c>
    </row>
    <row r="75" spans="1:14" ht="14.4" customHeight="true"/>
    <row r="77" spans="1:14" ht="14.4" customHeight="true">
      <c r="A77" s="37" t="s">
        <v>128</v>
      </c>
      <c r="B77" s="34"/>
      <c r="C77" s="34"/>
      <c r="D77" s="34"/>
      <c r="E77" s="34"/>
      <c r="F77" s="34"/>
      <c r="G77" s="34"/>
      <c r="H77" s="34"/>
      <c r="I77" s="34"/>
      <c r="J77" s="34"/>
      <c r="K77" s="34"/>
      <c r="L77" s="34"/>
      <c r="M77" s="34"/>
      <c r="N77" s="34"/>
    </row>
  </sheetData>
  <mergeCells count="4">
    <mergeCell ref="A1:N1"/>
    <mergeCell ref="A2:N2"/>
    <mergeCell ref="A3:N3"/>
    <mergeCell ref="A77:N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Nikki Dela Cruz</cp:lastModifiedBy>
  <dcterms:created xsi:type="dcterms:W3CDTF">2025-11-11T02:13:03Z</dcterms:created>
  <dcterms:modified xsi:type="dcterms:W3CDTF">2026-03-06T15:32:27Z</dcterms:modified>
</cp:coreProperties>
</file>