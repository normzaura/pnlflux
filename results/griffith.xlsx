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auracfo-my.sharepoint.com/personal/claudia_auracfo_com/Documents/Desktop/AI Notes/"/>
    </mc:Choice>
  </mc:AlternateContent>
  <bookViews>
    <workbookView xWindow="-108" yWindow="-108" windowWidth="23256" windowHeight="13896" firstSheet="1" activeTab="1"/>
  </bookViews>
  <sheets>
    <sheet name="Balance Sheet MoM" sheetId="2" r:id="rId1"/>
    <sheet name="Profit &amp; Loss MoM"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true"/>
  <c r="B12" i="2" s="true"/>
  <c r="B23" i="2" s="true"/>
  <c r="B32" i="2" s="true"/>
  <c r="C11" i="2"/>
  <c r="C12" i="2" s="true"/>
  <c r="C23" i="2" s="true"/>
  <c r="D11" i="2"/>
  <c r="D12" i="2" s="true"/>
  <c r="D23" i="2" s="true"/>
  <c r="E11" i="2"/>
  <c r="E12" i="2" s="true"/>
  <c r="E23" i="2" s="true"/>
  <c r="F11" i="2"/>
  <c r="G11" i="2"/>
  <c r="F12" i="2"/>
  <c r="G12" i="2"/>
  <c r="G23" i="2" s="true"/>
  <c r="B15" i="2"/>
  <c r="C15" i="2"/>
  <c r="D15" i="2"/>
  <c r="E15" i="2"/>
  <c r="F15" i="2"/>
  <c r="F23" i="2" s="true"/>
  <c r="F32" i="2" s="true"/>
  <c r="G15" i="2"/>
  <c r="B22" i="2"/>
  <c r="C22" i="2"/>
  <c r="D22" i="2"/>
  <c r="E22" i="2"/>
  <c r="F22" i="2"/>
  <c r="G22" i="2"/>
  <c r="B29" i="2"/>
  <c r="B31" i="2" s="true"/>
  <c r="C29" i="2"/>
  <c r="C31" i="2" s="true"/>
  <c r="D29" i="2"/>
  <c r="D31" i="2" s="true"/>
  <c r="E29" i="2"/>
  <c r="E31" i="2" s="true"/>
  <c r="F29" i="2"/>
  <c r="F31" i="2" s="true"/>
  <c r="G29" i="2"/>
  <c r="G31" i="2" s="true"/>
  <c r="B51" i="2"/>
  <c r="B53" i="2" s="true"/>
  <c r="B65" i="2" s="true"/>
  <c r="B69" i="2" s="true"/>
  <c r="B78" i="2" s="true"/>
  <c r="C51" i="2"/>
  <c r="C53" i="2" s="true"/>
  <c r="C65" i="2" s="true"/>
  <c r="C69" i="2" s="true"/>
  <c r="C78" i="2" s="true"/>
  <c r="D51" i="2"/>
  <c r="D53" i="2" s="true"/>
  <c r="D65" i="2" s="true"/>
  <c r="D69" i="2" s="true"/>
  <c r="D78" i="2" s="true"/>
  <c r="E51" i="2"/>
  <c r="E53" i="2" s="true"/>
  <c r="E65" i="2" s="true"/>
  <c r="E69" i="2" s="true"/>
  <c r="E78" i="2" s="true"/>
  <c r="F51" i="2"/>
  <c r="G51" i="2"/>
  <c r="G53" i="2" s="true"/>
  <c r="G65" i="2" s="true"/>
  <c r="G69" i="2" s="true"/>
  <c r="G78" i="2" s="true"/>
  <c r="F53" i="2"/>
  <c r="F65" i="2" s="true"/>
  <c r="F69" i="2" s="true"/>
  <c r="F78" i="2" s="true"/>
  <c r="B64" i="2"/>
  <c r="C64" i="2"/>
  <c r="D64" i="2"/>
  <c r="E64" i="2"/>
  <c r="F64" i="2"/>
  <c r="G64" i="2"/>
  <c r="E68" i="2"/>
  <c r="F68" i="2"/>
  <c r="G68" i="2"/>
  <c r="B77" i="2"/>
  <c r="C77" i="2"/>
  <c r="D77" i="2"/>
  <c r="E77" i="2"/>
  <c r="F77" i="2"/>
  <c r="G77" i="2"/>
  <c r="G100" i="1"/>
  <c r="G101" i="1" s="true"/>
  <c r="G99" i="1"/>
  <c r="F99" i="1"/>
  <c r="F100" i="1" s="true"/>
  <c r="F101" i="1" s="true"/>
  <c r="E99" i="1"/>
  <c r="E100" i="1" s="true"/>
  <c r="D99" i="1"/>
  <c r="D100" i="1" s="true"/>
  <c r="D101" i="1" s="true"/>
  <c r="C99" i="1"/>
  <c r="C100" i="1" s="true"/>
  <c r="C101" i="1" s="true"/>
  <c r="B99" i="1"/>
  <c r="B100" i="1" s="true"/>
  <c r="H98" i="1"/>
  <c r="H97" i="1"/>
  <c r="H96" i="1"/>
  <c r="H95" i="1"/>
  <c r="B92" i="1"/>
  <c r="H91" i="1"/>
  <c r="E90" i="1"/>
  <c r="E92" i="1" s="true"/>
  <c r="E101" i="1" s="true"/>
  <c r="H89" i="1"/>
  <c r="G84" i="1"/>
  <c r="F84" i="1"/>
  <c r="E84" i="1"/>
  <c r="D84" i="1"/>
  <c r="C84" i="1"/>
  <c r="B84" i="1"/>
  <c r="H84" i="1" s="true"/>
  <c r="H83" i="1"/>
  <c r="H82" i="1"/>
  <c r="G80" i="1"/>
  <c r="H80" i="1" s="true"/>
  <c r="F80" i="1"/>
  <c r="E80" i="1"/>
  <c r="D80" i="1"/>
  <c r="C80" i="1"/>
  <c r="B80" i="1"/>
  <c r="H79" i="1"/>
  <c r="H78" i="1"/>
  <c r="G76" i="1"/>
  <c r="F76" i="1"/>
  <c r="E76" i="1"/>
  <c r="D76" i="1"/>
  <c r="C76" i="1"/>
  <c r="B76" i="1"/>
  <c r="H76" i="1" s="true"/>
  <c r="H75" i="1"/>
  <c r="H74" i="1"/>
  <c r="H73" i="1"/>
  <c r="H72" i="1"/>
  <c r="H71" i="1"/>
  <c r="H70" i="1"/>
  <c r="E68" i="1"/>
  <c r="B68" i="1"/>
  <c r="H68" i="1" s="true"/>
  <c r="H67" i="1"/>
  <c r="H66" i="1"/>
  <c r="G64" i="1"/>
  <c r="F64" i="1"/>
  <c r="E64" i="1"/>
  <c r="D64" i="1"/>
  <c r="C64" i="1"/>
  <c r="B64" i="1"/>
  <c r="H64" i="1" s="true"/>
  <c r="H63" i="1"/>
  <c r="H62" i="1"/>
  <c r="H61" i="1"/>
  <c r="G59" i="1"/>
  <c r="F59" i="1"/>
  <c r="E59" i="1"/>
  <c r="D59" i="1"/>
  <c r="B59" i="1"/>
  <c r="H59" i="1" s="true"/>
  <c r="H58" i="1"/>
  <c r="H57" i="1"/>
  <c r="H56" i="1"/>
  <c r="G54" i="1"/>
  <c r="F54" i="1"/>
  <c r="E54" i="1"/>
  <c r="H54" i="1" s="true"/>
  <c r="D54" i="1"/>
  <c r="C54" i="1"/>
  <c r="B54" i="1"/>
  <c r="H53" i="1"/>
  <c r="H52" i="1"/>
  <c r="H51" i="1"/>
  <c r="G49" i="1"/>
  <c r="F49" i="1"/>
  <c r="E49" i="1"/>
  <c r="D49" i="1"/>
  <c r="C49" i="1"/>
  <c r="B49" i="1"/>
  <c r="H49" i="1" s="true"/>
  <c r="H48" i="1"/>
  <c r="H47" i="1"/>
  <c r="H46" i="1"/>
  <c r="G44" i="1"/>
  <c r="F44" i="1"/>
  <c r="E44" i="1"/>
  <c r="D44" i="1"/>
  <c r="C44" i="1"/>
  <c r="B44" i="1"/>
  <c r="H44" i="1" s="true"/>
  <c r="H43" i="1"/>
  <c r="G41" i="1"/>
  <c r="F41" i="1"/>
  <c r="E41" i="1"/>
  <c r="D41" i="1"/>
  <c r="C41" i="1"/>
  <c r="B41" i="1"/>
  <c r="H41" i="1" s="true"/>
  <c r="H40" i="1"/>
  <c r="H39" i="1"/>
  <c r="H38" i="1"/>
  <c r="H37" i="1"/>
  <c r="H36" i="1"/>
  <c r="G34" i="1"/>
  <c r="F34" i="1"/>
  <c r="F85" i="1" s="true"/>
  <c r="E34" i="1"/>
  <c r="E85" i="1" s="true"/>
  <c r="D34" i="1"/>
  <c r="D85" i="1" s="true"/>
  <c r="C34" i="1"/>
  <c r="C85" i="1" s="true"/>
  <c r="B34" i="1"/>
  <c r="H34" i="1" s="true"/>
  <c r="H33" i="1"/>
  <c r="H32" i="1"/>
  <c r="H31" i="1"/>
  <c r="G26" i="1"/>
  <c r="F26" i="1"/>
  <c r="E26" i="1"/>
  <c r="H26" i="1" s="true"/>
  <c r="D26" i="1"/>
  <c r="C26" i="1"/>
  <c r="B26" i="1"/>
  <c r="H25" i="1"/>
  <c r="H24" i="1"/>
  <c r="H23" i="1"/>
  <c r="H22" i="1"/>
  <c r="G20" i="1"/>
  <c r="G27" i="1" s="true"/>
  <c r="G28" i="1" s="true"/>
  <c r="F20" i="1"/>
  <c r="F27" i="1" s="true"/>
  <c r="E20" i="1"/>
  <c r="E27" i="1" s="true"/>
  <c r="D20" i="1"/>
  <c r="D27" i="1" s="true"/>
  <c r="C20" i="1"/>
  <c r="C27" i="1" s="true"/>
  <c r="H19" i="1"/>
  <c r="H18" i="1"/>
  <c r="H17" i="1"/>
  <c r="H16" i="1"/>
  <c r="G13" i="1"/>
  <c r="F13" i="1"/>
  <c r="E13" i="1"/>
  <c r="D13" i="1"/>
  <c r="C13" i="1"/>
  <c r="B13" i="1"/>
  <c r="H13" i="1" s="true"/>
  <c r="H12" i="1"/>
  <c r="H11" i="1"/>
  <c r="H10" i="1"/>
  <c r="H9" i="1"/>
  <c r="H8" i="1"/>
  <c r="G32" i="2" l="true"/>
  <c r="E32" i="2"/>
  <c r="D32" i="2"/>
  <c r="C32" i="2"/>
  <c r="H92" i="1"/>
  <c r="B101" i="1"/>
  <c r="H101" i="1" s="true"/>
  <c r="H100" i="1"/>
  <c r="C28" i="1"/>
  <c r="C86" i="1" s="true"/>
  <c r="C102" i="1" s="true"/>
  <c r="D28" i="1"/>
  <c r="D86" i="1" s="true"/>
  <c r="D102" i="1" s="true"/>
  <c r="E28" i="1"/>
  <c r="E86" i="1" s="true"/>
  <c r="E102" i="1" s="true"/>
  <c r="F28" i="1"/>
  <c r="F86" i="1" s="true"/>
  <c r="F102" i="1" s="true"/>
  <c r="H99" i="1"/>
  <c r="B85" i="1"/>
  <c r="G85" i="1"/>
  <c r="G86" i="1" s="true"/>
  <c r="G102" i="1" s="true"/>
  <c r="H90" i="1"/>
  <c r="H85" i="1" l="true"/>
  <c r="B20" i="1" l="true"/>
  <c r="B27" i="1" s="true"/>
  <c r="H27" i="1" l="true"/>
  <c r="B28" i="1"/>
  <c r="H20" i="1"/>
  <c r="B86" i="1" l="true"/>
  <c r="H28" i="1"/>
  <c r="H86" i="1" l="true"/>
  <c r="B102" i="1"/>
  <c r="H102" i="1" s="true"/>
</calcChain>
</file>

<file path=xl/sharedStrings.xml><?xml version="1.0" encoding="utf-8"?>
<sst xmlns="http://schemas.openxmlformats.org/spreadsheetml/2006/main" count="210" uniqueCount="195">
  <si>
    <t>Profit and Loss</t>
  </si>
  <si>
    <t>Griffith Media</t>
  </si>
  <si>
    <t>October 1, 2025-March 31, 2026</t>
  </si>
  <si>
    <t>Income</t>
  </si>
  <si>
    <t>4000 Video Income</t>
  </si>
  <si>
    <t>4002 Retainer Income</t>
  </si>
  <si>
    <t>4004 Royalty Income</t>
  </si>
  <si>
    <t>4005 Shipping Income</t>
  </si>
  <si>
    <t>4100 Discounts &amp; Refunds given</t>
  </si>
  <si>
    <t>Total for Income</t>
  </si>
  <si>
    <t>Cost of Goods Sold</t>
  </si>
  <si>
    <t>5000 COGS &amp; Other Direct Expenses</t>
  </si>
  <si>
    <t>5001 Actors &amp; Voiceover Actors</t>
  </si>
  <si>
    <t>5002 Cameras &amp; Equipment</t>
  </si>
  <si>
    <t>5005 Stock Media &amp; Materials</t>
  </si>
  <si>
    <t>5006 Subcontractor Labor</t>
  </si>
  <si>
    <t>Total for 5000 COGS &amp; Other Direct Expenses</t>
  </si>
  <si>
    <t>5010 Direct Labor</t>
  </si>
  <si>
    <t>5011 DL - Officer Wages</t>
  </si>
  <si>
    <t>5021 DL - EE Wages</t>
  </si>
  <si>
    <t>5022 DL - Taxes</t>
  </si>
  <si>
    <t>5023 DL - Bonus</t>
  </si>
  <si>
    <t>Total for 5010 Direct Labor</t>
  </si>
  <si>
    <t>Total for Cost of Goods Sold</t>
  </si>
  <si>
    <t>Gross Profit</t>
  </si>
  <si>
    <t>Expenses</t>
  </si>
  <si>
    <t>6010 Payroll - Officers</t>
  </si>
  <si>
    <t>6011 Officer Wages</t>
  </si>
  <si>
    <t>6012 Officer Taxes</t>
  </si>
  <si>
    <t>6016 401(k) Employee Match</t>
  </si>
  <si>
    <t>Total for 6010 Payroll - Officers</t>
  </si>
  <si>
    <t>6020 Payroll - Employees</t>
  </si>
  <si>
    <t>6021 Employee Wages</t>
  </si>
  <si>
    <t>6022 Employee Taxes</t>
  </si>
  <si>
    <t>6023 Employee Bonus</t>
  </si>
  <si>
    <t>6026 401(k) Employer Match</t>
  </si>
  <si>
    <t>6030 Payroll Fees</t>
  </si>
  <si>
    <t>Total for 6020 Payroll - Employees</t>
  </si>
  <si>
    <t>6100 Advertising &amp; Marketing</t>
  </si>
  <si>
    <t>6101 Marketing</t>
  </si>
  <si>
    <t>Total for 6100 Advertising &amp; Marketing</t>
  </si>
  <si>
    <t>6150 Office &amp; Other Admin Expenses</t>
  </si>
  <si>
    <t>6151 Dues &amp; Subscriptions</t>
  </si>
  <si>
    <t>6154 Office expenses</t>
  </si>
  <si>
    <t>6155 Office Software</t>
  </si>
  <si>
    <t>Total for 6150 Office &amp; Other Admin Expenses</t>
  </si>
  <si>
    <t>6200 Travel</t>
  </si>
  <si>
    <t>6201 Meals</t>
  </si>
  <si>
    <t>6202 Airfare</t>
  </si>
  <si>
    <t>6204 Transportation</t>
  </si>
  <si>
    <t>Total for 6200 Travel</t>
  </si>
  <si>
    <t>6300 Vehicle Expenses</t>
  </si>
  <si>
    <t>6301 Gas</t>
  </si>
  <si>
    <t>6302 Parking &amp; Tolls</t>
  </si>
  <si>
    <t>6303 Repairs &amp; Maintenance</t>
  </si>
  <si>
    <t>Total for 6300 Vehicle Expenses</t>
  </si>
  <si>
    <t>6400 Rent &amp; Utilities Expenses</t>
  </si>
  <si>
    <t>6401 Rent &amp; Lease</t>
  </si>
  <si>
    <t>6403 Internet</t>
  </si>
  <si>
    <t>6404 Telephone</t>
  </si>
  <si>
    <t>Total for 6400 Rent &amp; Utilities Expenses</t>
  </si>
  <si>
    <t>6500 Taxes &amp; Licenses</t>
  </si>
  <si>
    <t>6502 Tax Expenses</t>
  </si>
  <si>
    <t>6503 Taxes, Licenses and Fees</t>
  </si>
  <si>
    <t>Total for 6500 Taxes &amp; Licenses</t>
  </si>
  <si>
    <t>6600 Insurance Expenses</t>
  </si>
  <si>
    <t>6601 General Liability Insurance</t>
  </si>
  <si>
    <t>6602 Equipment Insurance</t>
  </si>
  <si>
    <t>6603 Dental Insurance</t>
  </si>
  <si>
    <t>6604 Health insurance</t>
  </si>
  <si>
    <t>6605 Life &amp; Vision Insurance</t>
  </si>
  <si>
    <t>6606 Worker's Comp Insurance</t>
  </si>
  <si>
    <t>Total for 6600 Insurance Expenses</t>
  </si>
  <si>
    <t>6700 Bank &amp; Other Financing Fees</t>
  </si>
  <si>
    <t>6701 Bank &amp; CC Fees</t>
  </si>
  <si>
    <t>6703 QuickBooks Payments Fees</t>
  </si>
  <si>
    <t>Total for 6700 Bank &amp; Other Financing Fees</t>
  </si>
  <si>
    <t>6800 Legal &amp; Professional Services</t>
  </si>
  <si>
    <t>6801 Accounting</t>
  </si>
  <si>
    <t>6802 Business Consulting</t>
  </si>
  <si>
    <t>Total for 6800 Legal &amp; Professional Services</t>
  </si>
  <si>
    <t>Total for Expenses</t>
  </si>
  <si>
    <t>Net Operating Income</t>
  </si>
  <si>
    <t>Other Income</t>
  </si>
  <si>
    <t>7000 Other Income</t>
  </si>
  <si>
    <t>7003 Misc Income</t>
  </si>
  <si>
    <t>Total for 7000 Other Income</t>
  </si>
  <si>
    <t>Late Fee Income</t>
  </si>
  <si>
    <t>Total for Other Income</t>
  </si>
  <si>
    <t>Other Expenses</t>
  </si>
  <si>
    <t>8000 Other Expenses</t>
  </si>
  <si>
    <t>8001 Depreciation</t>
  </si>
  <si>
    <t>8003 Interest Expense</t>
  </si>
  <si>
    <t>8004 Loss on Sale of Asset</t>
  </si>
  <si>
    <t>8005 Misc Expense</t>
  </si>
  <si>
    <t>Total for 8000 Other Expenses</t>
  </si>
  <si>
    <t>Total for Other Expenses</t>
  </si>
  <si>
    <t>Net Other Income</t>
  </si>
  <si>
    <t>Net Income</t>
  </si>
  <si>
    <t/>
  </si>
  <si>
    <t>Oct 2025</t>
  </si>
  <si>
    <t>Nov 2025</t>
  </si>
  <si>
    <t>Dec 2025</t>
  </si>
  <si>
    <t>Jan 2026</t>
  </si>
  <si>
    <t>Feb 2026</t>
  </si>
  <si>
    <t>Mar 2026</t>
  </si>
  <si>
    <t>Total</t>
  </si>
  <si>
    <t>Accrual Basis Monday, April 20, 2026 08:21 AM GMTZ</t>
  </si>
  <si>
    <t>Accrual Basis Monday, April 20, 2026 08:20 AM GMTZ</t>
  </si>
  <si>
    <t>Total for Liabilities and Equity</t>
  </si>
  <si>
    <t>Total for Equity</t>
  </si>
  <si>
    <t>3900 Retained Earnings</t>
  </si>
  <si>
    <t>3100 Capital Stock</t>
  </si>
  <si>
    <t>3000 Opening Balance Equity</t>
  </si>
  <si>
    <t>3300 Shareholder Distribution</t>
  </si>
  <si>
    <t>3200 Shareholder Contribution</t>
  </si>
  <si>
    <t>Equity</t>
  </si>
  <si>
    <t>Total for Liabilities</t>
  </si>
  <si>
    <t>Total for Long-term Liabilities</t>
  </si>
  <si>
    <t>2401 LT - VW Atlas Loan</t>
  </si>
  <si>
    <t>Long-term Liabilities</t>
  </si>
  <si>
    <t>Total for Current Liabilities</t>
  </si>
  <si>
    <t>Total for Other Current Liabilities</t>
  </si>
  <si>
    <t>Retirement Plan Payable</t>
  </si>
  <si>
    <t>Out Of Scope Agency Payable</t>
  </si>
  <si>
    <t>2350 401K Liabilities</t>
  </si>
  <si>
    <t>2301 ST - VW Atlas Loan</t>
  </si>
  <si>
    <t>2280 Unearned Revenue</t>
  </si>
  <si>
    <t>2270 Texas State Comptroller Payable</t>
  </si>
  <si>
    <t>2230 Accrued Expenses</t>
  </si>
  <si>
    <t>2220 Accrued Payroll</t>
  </si>
  <si>
    <t>2200 Payroll Clearing</t>
  </si>
  <si>
    <t>Other Current Liabilities</t>
  </si>
  <si>
    <t>Total for Credit Cards</t>
  </si>
  <si>
    <t>Credit_Chase Ink Preferred_5318</t>
  </si>
  <si>
    <t>Total for 2100 Credit Cards</t>
  </si>
  <si>
    <t>2122 Chase Ink CC (5355) - CLOSING</t>
  </si>
  <si>
    <t>2121 Amex Platinum CC (61005) - CLOSING</t>
  </si>
  <si>
    <t>2120 Amex Hilton CC (32002) - CLOSING</t>
  </si>
  <si>
    <t>2101 Amex Bonvoy CC (1007)</t>
  </si>
  <si>
    <t>2110 CapOne Venture X Biz GG - 5136</t>
  </si>
  <si>
    <t>2109 Chase United CC (7972)</t>
  </si>
  <si>
    <t>2108 CapOne Venture X CC (7418)</t>
  </si>
  <si>
    <t>2107 B&amp;H Photo CC (4007)</t>
  </si>
  <si>
    <t>2106 Amex Platinum CC (1008)</t>
  </si>
  <si>
    <t>2105 Amex Platinum CC (1001)</t>
  </si>
  <si>
    <t>2104 Amex Gold CC (1003)</t>
  </si>
  <si>
    <t>2103 Amex Gold CC (2000)</t>
  </si>
  <si>
    <t>2102 Amex Gold CC (1005)</t>
  </si>
  <si>
    <t>2100 Credit Cards</t>
  </si>
  <si>
    <t>Credit Cards</t>
  </si>
  <si>
    <t>Current Liabilities</t>
  </si>
  <si>
    <t>Liabilities</t>
  </si>
  <si>
    <t>Liabilities and Equity</t>
  </si>
  <si>
    <t>Total for Assets</t>
  </si>
  <si>
    <t>Total for Fixed Assets</t>
  </si>
  <si>
    <t>1499 Accumulated Depreciation</t>
  </si>
  <si>
    <t>Total for 1300 Fixed Assets &amp; Leasehold Improvements</t>
  </si>
  <si>
    <t>1303 2026 VW Atlas</t>
  </si>
  <si>
    <t>1302 2013 Jeep Wrangler</t>
  </si>
  <si>
    <t>1301 Camera Equipment</t>
  </si>
  <si>
    <t>1300 Fixed Assets &amp; Leasehold Improvements</t>
  </si>
  <si>
    <t>Fixed Assets</t>
  </si>
  <si>
    <t>Total for Current Assets</t>
  </si>
  <si>
    <t>Total for Other Current Assets</t>
  </si>
  <si>
    <t>Undeposited Funds</t>
  </si>
  <si>
    <t>1240 Accrued Revenue</t>
  </si>
  <si>
    <t>1230 Prepaid Project Expense</t>
  </si>
  <si>
    <t>1220 Prepaid Insurance</t>
  </si>
  <si>
    <t>1210 Prepaid Expenses</t>
  </si>
  <si>
    <t>Other Current Assets</t>
  </si>
  <si>
    <t>Total for Accounts Receivable</t>
  </si>
  <si>
    <t>1100 Accounts Receivable (A/R)</t>
  </si>
  <si>
    <t>Accounts Receivable</t>
  </si>
  <si>
    <t>Total for Bank Accounts</t>
  </si>
  <si>
    <t>Total for 1000 Cash</t>
  </si>
  <si>
    <t>1001 Chase Checking (8833)</t>
  </si>
  <si>
    <t>1000 Cash</t>
  </si>
  <si>
    <t>Bank Accounts</t>
  </si>
  <si>
    <t>Current Assets</t>
  </si>
  <si>
    <t>Assets</t>
  </si>
  <si>
    <t>As of Mar 31, 2026</t>
  </si>
  <si>
    <t>Balance Sheet</t>
  </si>
  <si>
    <t>Reconciled as of 3/31.</t>
  </si>
  <si>
    <t>Matched with the recon workpaper.</t>
  </si>
  <si>
    <t>Retainer income from Embassy City Church and production retainer.</t>
  </si>
  <si>
    <t>This is adjusted depending on their related project status. Kindly refer to the project tracker.</t>
  </si>
  <si>
    <t>Please see DL workpaper. This is also adjusted depending on their related project status. Kindly refer to the project tracker.</t>
  </si>
  <si>
    <t>Payment to The Wolf Williams Group; previous transactions were coded on this account.</t>
  </si>
  <si>
    <t>Two paychecks cleared in March plus accrual.</t>
  </si>
  <si>
    <t>Payments to Facebook, Fiverr, Flodesk, and Porkbun.</t>
  </si>
  <si>
    <t>Truist Loan interest expense</t>
  </si>
  <si>
    <t>Business Days</t>
  </si>
  <si>
    <t xml:space="preserve">why is all this yellow when its on the month end workbook TB tab. </t>
  </si>
  <si>
    <t>should be green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</si>
</sst>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11">
    <font>
      <name val="Calibri"/>
      <family val="2"/>
      <color theme="1"/>
      <sz val="12"/>
      <scheme val="minor"/>
    </font>
    <font>
      <name val="Calibri"/>
      <family val="2"/>
      <b val="1"/>
      <color theme="1"/>
      <sz val="12"/>
      <scheme val="minor"/>
    </font>
    <font>
      <name val="Arial"/>
      <family val="2"/>
      <color theme="1"/>
      <sz val="8"/>
    </font>
    <font>
      <name val="Arial"/>
      <family val="2"/>
      <b val="1"/>
      <color theme="1"/>
      <sz val="8"/>
    </font>
    <font>
      <name val="Arial"/>
      <family val="2"/>
      <b val="1"/>
      <color theme="1"/>
      <sz val="9"/>
    </font>
    <font>
      <name val="Arial"/>
      <family val="2"/>
      <b val="1"/>
      <color theme="1"/>
      <sz val="10"/>
    </font>
    <font>
      <name val="Arial"/>
      <family val="2"/>
      <b val="1"/>
      <color theme="1"/>
      <sz val="12"/>
    </font>
    <font>
      <name val="Arial"/>
      <family val="2"/>
      <b val="1"/>
      <color theme="1"/>
      <sz val="14"/>
    </font>
    <font>
      <name val="Calibri"/>
      <family val="2"/>
      <i val="1"/>
      <color rgb="FF00B0F0"/>
      <sz val="12"/>
      <scheme val="minor"/>
    </font>
    <font>
      <name val="Calibri"/>
      <family val="2"/>
      <b val="1"/>
      <sz val="12"/>
    </font>
    <font>
      <name val="Calibri"/>
      <family val="2"/>
      <color rgb="FFFF0000"/>
      <sz val="12"/>
      <scheme val="minor"/>
    </font>
  </fonts>
  <fills count="6">
    <fill>
      <patternFill patternType="none"/>
    </fill>
    <fill>
      <patternFill patternType="gray125"/>
    </fill>
    <fill>
      <patternFill patternType="solid">
        <fgColor rgb="FFFF6600"/>
      </patternFill>
    </fill>
    <fill>
      <patternFill patternType="solid">
        <fgColor rgb="FF00B050"/>
      </patternFill>
    </fill>
    <fill>
      <patternFill patternType="solid">
        <fgColor rgb="FFFFFF00"/>
      </patternFill>
    </fill>
    <fill>
      <patternFill patternType="solid">
        <fgColor rgb="FFFF0000"/>
      </patternFill>
    </fill>
  </fills>
  <borders count="7">
    <border>
      <left/>
      <right/>
      <top/>
      <bottom/>
      <diagonal/>
    </border>
    <border>
      <left/>
      <right/>
      <top/>
      <bottom style="thin">
        <color auto="true"/>
      </bottom>
      <diagonal/>
    </border>
    <border>
      <left/>
      <right/>
      <top style="thin">
        <color auto="true"/>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border>
    <border>
      <top style="thin">
        <color rgb="FF000000"/>
      </top>
    </border>
  </borders>
  <cellStyleXfs count="4">
    <xf numFmtId="0" fontId="0" fillId="0" borderId="0"/>
    <xf numFmtId="0" fontId="1" fillId="0" borderId="1"/>
    <xf numFmtId="0" fontId="1" fillId="0" borderId="0"/>
    <xf numFmtId="0" fontId="1" fillId="0" borderId="2"/>
  </cellStyleXfs>
  <cellXfs count="37">
    <xf numFmtId="0" fontId="0" fillId="0" borderId="0" xfId="0"/>
    <xf numFmtId="0" fontId="0" fillId="0" borderId="0" xfId="0" applyAlignment="true">
      <alignment wrapText="true"/>
    </xf>
    <xf numFmtId="0" fontId="2" fillId="0" borderId="0" xfId="0" applyFont="true" applyAlignment="true">
      <alignment horizontal="left" wrapText="true"/>
    </xf>
    <xf numFmtId="0" fontId="2" fillId="0" borderId="0" xfId="0" applyFont="true" applyAlignment="true">
      <alignment horizontal="left" indent="1" wrapText="true"/>
    </xf>
    <xf numFmtId="0" fontId="3" fillId="0" borderId="0" xfId="0" applyFont="true" applyAlignment="true">
      <alignment horizontal="left" wrapText="true"/>
    </xf>
    <xf numFmtId="0" fontId="2" fillId="0" borderId="0" xfId="0" applyFont="true" applyAlignment="true">
      <alignment horizontal="left" indent="2" wrapText="true"/>
    </xf>
    <xf numFmtId="0" fontId="3" fillId="0" borderId="0" xfId="0" applyFont="true" applyAlignment="true">
      <alignment horizontal="left" indent="1" wrapText="true"/>
    </xf>
    <xf numFmtId="0" fontId="4" fillId="0" borderId="1" xfId="1" applyFont="true" applyAlignment="true">
      <alignment horizontal="center" wrapText="true"/>
    </xf>
    <xf numFmtId="0" fontId="2" fillId="0" borderId="0" xfId="0" applyFont="true" applyAlignment="true">
      <alignment wrapText="true"/>
    </xf>
    <xf numFmtId="4" fontId="2" fillId="0" borderId="0" xfId="0" applyNumberFormat="true" applyFont="true" applyAlignment="true">
      <alignment wrapText="true"/>
    </xf>
    <xf numFmtId="4" fontId="3" fillId="0" borderId="2" xfId="0" applyNumberFormat="true" applyFont="true" applyBorder="true" applyAlignment="true">
      <alignment wrapText="true"/>
    </xf>
    <xf numFmtId="164" fontId="3" fillId="0" borderId="2" xfId="0" applyNumberFormat="true" applyFont="true" applyBorder="true" applyAlignment="true">
      <alignment wrapText="true"/>
    </xf>
    <xf numFmtId="0" fontId="3" fillId="0" borderId="0" xfId="0" applyFont="true" applyAlignment="true">
      <alignment horizontal="left" indent="2" wrapText="true"/>
    </xf>
    <xf numFmtId="0" fontId="2" fillId="0" borderId="0" xfId="0" applyFont="true" applyAlignment="true">
      <alignment horizontal="left" indent="3" wrapText="true"/>
    </xf>
    <xf numFmtId="0" fontId="3" fillId="0" borderId="0" xfId="0" applyFont="true" applyAlignment="true">
      <alignment horizontal="left" indent="3" wrapText="true"/>
    </xf>
    <xf numFmtId="0" fontId="2" fillId="0" borderId="0" xfId="0" applyFont="true" applyAlignment="true">
      <alignment horizontal="left" indent="4" wrapText="true"/>
    </xf>
    <xf numFmtId="0" fontId="3" fillId="0" borderId="0" xfId="0" applyFont="true" applyAlignment="true">
      <alignment horizontal="left" indent="4" wrapText="true"/>
    </xf>
    <xf numFmtId="0" fontId="2" fillId="0" borderId="0" xfId="0" applyFont="true" applyAlignment="true">
      <alignment horizontal="left" indent="5" wrapText="true"/>
    </xf>
    <xf numFmtId="0" fontId="8" fillId="0" borderId="0" xfId="0" applyFont="true"/>
    <xf numFmtId="4" fontId="2" fillId="2" borderId="0" xfId="0" applyNumberFormat="true" applyFont="true" applyFill="true" applyAlignment="true">
      <alignment wrapText="true"/>
    </xf>
    <xf numFmtId="0" fontId="2" fillId="2" borderId="0" xfId="0" applyFont="true" applyFill="true" applyAlignment="true">
      <alignment wrapText="true"/>
    </xf>
    <xf numFmtId="4" fontId="2" fillId="3" borderId="0" xfId="0" applyNumberFormat="true" applyFont="true" applyFill="true" applyAlignment="true">
      <alignment wrapText="true"/>
    </xf>
    <xf numFmtId="4" fontId="2" fillId="4" borderId="3" xfId="0" applyNumberFormat="true" applyFont="true" applyFill="true" applyBorder="true" applyAlignment="true">
      <alignment wrapText="true"/>
    </xf>
    <xf numFmtId="4" fontId="3" fillId="4" borderId="4" xfId="0" applyNumberFormat="true" applyFont="true" applyFill="true" applyBorder="true" applyAlignment="true">
      <alignment wrapText="true"/>
    </xf>
    <xf numFmtId="4" fontId="2" fillId="4" borderId="0" xfId="0" applyNumberFormat="true" applyFont="true" applyFill="true" applyAlignment="true">
      <alignment wrapText="true"/>
    </xf>
    <xf numFmtId="0" fontId="9" fillId="0" borderId="0" xfId="0" applyFont="true"/>
    <xf numFmtId="1" fontId="0" fillId="0" borderId="0" xfId="0" applyNumberFormat="true"/>
    <xf numFmtId="0" fontId="7" fillId="0" borderId="0" xfId="0" applyFont="true" applyAlignment="true">
      <alignment horizontal="center" wrapText="true"/>
    </xf>
    <xf numFmtId="0" fontId="0" fillId="0" borderId="0" xfId="0" applyAlignment="true">
      <alignment wrapText="true"/>
    </xf>
    <xf numFmtId="0" fontId="6" fillId="0" borderId="0" xfId="0" applyFont="true" applyAlignment="true">
      <alignment horizontal="center" wrapText="true"/>
    </xf>
    <xf numFmtId="0" fontId="5" fillId="0" borderId="0" xfId="0" applyFont="true" applyAlignment="true">
      <alignment horizontal="center" wrapText="true"/>
    </xf>
    <xf numFmtId="0" fontId="2" fillId="0" borderId="0" xfId="0" applyFont="true" applyAlignment="true">
      <alignment horizontal="center" wrapText="true"/>
    </xf>
    <xf numFmtId="0" fontId="10" fillId="0" borderId="0" xfId="0" applyFont="true"/>
    <xf numFmtId="4" fontId="2" fillId="4" borderId="5" xfId="0" applyNumberFormat="true" applyFont="true" applyFill="true" applyBorder="true" applyAlignment="true">
      <alignment wrapText="true"/>
    </xf>
    <xf numFmtId="0" fontId="2" fillId="5" borderId="5" xfId="0" applyFont="true" applyFill="true" applyBorder="true" applyAlignment="true">
      <alignment wrapText="true"/>
    </xf>
    <xf numFmtId="4" fontId="3" fillId="4" borderId="6" xfId="0" applyNumberFormat="true" applyFont="true" applyFill="true" applyBorder="true" applyAlignment="true">
      <alignment wrapText="true"/>
    </xf>
    <xf numFmtId="4" fontId="2" fillId="5" borderId="5" xfId="0" applyNumberFormat="true" applyFont="true" applyFill="true" applyBorder="true" applyAlignment="true">
      <alignment wrapText="true"/>
    </xf>
  </cellXfs>
  <cellStyles count="4">
    <cellStyle name="GroupedCellStyle" xfId="2"/>
    <cellStyle name="HeaderCellStyle" xfId="1"/>
    <cellStyle name="Normal" xfId="0" builtinId="0"/>
    <cellStyle name="TotalCellStyle"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FD2B-6DB3-4E6B-B035-FE8313BA84D9}">
  <dimension ref="A1:H82"/>
  <sheetViews>
    <sheetView topLeftCell="D53" workbookViewId="0">
      <selection activeCell="G61" sqref="G61"/>
    </sheetView>
  </sheetViews>
  <sheetFormatPr defaultColWidth="11.296875" defaultRowHeight="15.6"/>
  <cols>
    <col customWidth="true" max="1" min="1" style="1" width="45.3984375"/>
    <col customWidth="true" max="4" min="2" style="1" width="16.09765625"/>
    <col customWidth="true" max="5" min="5" style="1" width="18.59765625"/>
    <col customWidth="true" max="7" min="6" style="1" width="19.5"/>
  </cols>
  <sheetData>
    <row r="1" spans="1:8">
      <c r="A1" s="27" t="s">
        <v>182</v>
      </c>
      <c r="B1" s="28"/>
      <c r="C1" s="28"/>
      <c r="D1" s="28"/>
      <c r="E1" s="28"/>
      <c r="F1" s="28"/>
      <c r="G1" s="28"/>
    </row>
    <row r="2" spans="1:8">
      <c r="A2" s="29" t="s">
        <v>1</v>
      </c>
      <c r="B2" s="28"/>
      <c r="C2" s="28"/>
      <c r="D2" s="28"/>
      <c r="E2" s="28"/>
      <c r="F2" s="28"/>
      <c r="G2" s="28"/>
    </row>
    <row r="3" spans="1:8">
      <c r="A3" s="30" t="s">
        <v>181</v>
      </c>
      <c r="B3" s="28"/>
      <c r="C3" s="28"/>
      <c r="D3" s="28"/>
      <c r="E3" s="28"/>
      <c r="F3" s="28"/>
      <c r="G3" s="28"/>
    </row>
    <row r="5" spans="1:8">
      <c r="A5" s="7" t="s">
        <v>99</v>
      </c>
      <c r="B5" s="7" t="s">
        <v>100</v>
      </c>
      <c r="C5" s="7" t="s">
        <v>101</v>
      </c>
      <c r="D5" s="7" t="s">
        <v>102</v>
      </c>
      <c r="E5" s="7" t="s">
        <v>103</v>
      </c>
      <c r="F5" s="7" t="s">
        <v>104</v>
      </c>
      <c r="G5" s="7" t="s">
        <v>105</v>
      </c>
    </row>
    <row r="6" spans="1:8">
      <c r="A6" s="2" t="s">
        <v>180</v>
      </c>
      <c r="B6" s="8"/>
      <c r="C6" s="8"/>
      <c r="D6" s="8"/>
      <c r="E6" s="8"/>
      <c r="F6" s="8"/>
      <c r="G6" s="8"/>
    </row>
    <row r="7" spans="1:8">
      <c r="A7" s="3" t="s">
        <v>179</v>
      </c>
      <c r="B7" s="8"/>
      <c r="C7" s="8"/>
      <c r="D7" s="8"/>
      <c r="E7" s="8"/>
      <c r="F7" s="8"/>
      <c r="G7" s="8"/>
    </row>
    <row r="8" spans="1:8">
      <c r="A8" s="5" t="s">
        <v>178</v>
      </c>
      <c r="B8" s="8"/>
      <c r="C8" s="8"/>
      <c r="D8" s="8"/>
      <c r="E8" s="8"/>
      <c r="F8" s="8"/>
      <c r="G8" s="8"/>
      <c r="H8" s="32" t="s">
        <v>193</v>
      </c>
    </row>
    <row r="9" spans="1:8">
      <c r="A9" s="13" t="s">
        <v>177</v>
      </c>
      <c r="B9" s="8"/>
      <c r="C9" s="8"/>
      <c r="D9" s="8"/>
      <c r="E9" s="8"/>
      <c r="F9" s="8"/>
      <c r="G9" s="8"/>
    </row>
    <row r="10" spans="1:8">
      <c r="A10" s="15" t="s">
        <v>176</v>
      </c>
      <c r="B10" s="9">
        <v>131994.17000000001</v>
      </c>
      <c r="C10" s="9">
        <v>139042.28</v>
      </c>
      <c r="D10" s="9">
        <v>119106.73999999999</v>
      </c>
      <c r="E10" s="9">
        <v>95039.469999999987</v>
      </c>
      <c r="F10" s="9">
        <v>123685.91999999998</v>
      </c>
      <c r="G10" s="21">
        <v>98761.34</v>
      </c>
      <c r="H10" s="18" t="s">
        <v>183</v>
      </c>
    </row>
    <row r="11" spans="1:8">
      <c r="A11" s="14" t="s">
        <v>175</v>
      </c>
      <c r="B11" s="10">
        <f t="shared" ref="B11:G11" si="0">B9+B10</f>
        <v>131994.17000000001</v>
      </c>
      <c r="C11" s="10">
        <f t="shared" si="0"/>
        <v>139042.28</v>
      </c>
      <c r="D11" s="10">
        <f t="shared" si="0"/>
        <v>119106.73999999999</v>
      </c>
      <c r="E11" s="10">
        <f t="shared" si="0"/>
        <v>95039.469999999987</v>
      </c>
      <c r="F11" s="10">
        <f t="shared" si="0"/>
        <v>123685.91999999998</v>
      </c>
      <c r="G11" s="10">
        <f t="shared" si="0"/>
        <v>98761.339999999982</v>
      </c>
    </row>
    <row r="12" spans="1:8">
      <c r="A12" s="12" t="s">
        <v>174</v>
      </c>
      <c r="B12" s="10">
        <f t="shared" ref="B12:G12" si="1">B8+B11</f>
        <v>131994.17000000001</v>
      </c>
      <c r="C12" s="10">
        <f t="shared" si="1"/>
        <v>139042.28</v>
      </c>
      <c r="D12" s="10">
        <f t="shared" si="1"/>
        <v>119106.73999999999</v>
      </c>
      <c r="E12" s="10">
        <f t="shared" si="1"/>
        <v>95039.469999999987</v>
      </c>
      <c r="F12" s="10">
        <f t="shared" si="1"/>
        <v>123685.91999999998</v>
      </c>
      <c r="G12" s="10">
        <f t="shared" si="1"/>
        <v>98761.339999999982</v>
      </c>
    </row>
    <row r="13" spans="1:8">
      <c r="A13" s="5" t="s">
        <v>173</v>
      </c>
      <c r="B13" s="8"/>
      <c r="C13" s="8"/>
      <c r="D13" s="8"/>
      <c r="E13" s="8"/>
      <c r="F13" s="8"/>
      <c r="G13" s="8"/>
    </row>
    <row r="14" spans="1:8">
      <c r="A14" s="13" t="s">
        <v>172</v>
      </c>
      <c r="B14" s="9">
        <v>135088.12</v>
      </c>
      <c r="C14" s="9">
        <v>114778.45</v>
      </c>
      <c r="D14" s="9">
        <v>134009.38</v>
      </c>
      <c r="E14" s="9">
        <v>167189.9</v>
      </c>
      <c r="F14" s="9">
        <v>147920.5</v>
      </c>
      <c r="G14" s="21">
        <v>127501.4</v>
      </c>
    </row>
    <row r="15" spans="1:8">
      <c r="A15" s="12" t="s">
        <v>171</v>
      </c>
      <c r="B15" s="10">
        <f t="shared" ref="B15:G15" si="2">B13+B14</f>
        <v>135088.12</v>
      </c>
      <c r="C15" s="10">
        <f t="shared" si="2"/>
        <v>114778.45</v>
      </c>
      <c r="D15" s="10">
        <f t="shared" si="2"/>
        <v>134009.38</v>
      </c>
      <c r="E15" s="10">
        <f t="shared" si="2"/>
        <v>167189.9</v>
      </c>
      <c r="F15" s="10">
        <f t="shared" si="2"/>
        <v>147920.5</v>
      </c>
      <c r="G15" s="10">
        <f t="shared" si="2"/>
        <v>127501.4</v>
      </c>
      <c r="H15" s="18" t="s">
        <v>184</v>
      </c>
    </row>
    <row r="16" spans="1:8">
      <c r="A16" s="5" t="s">
        <v>170</v>
      </c>
      <c r="B16" s="8"/>
      <c r="C16" s="8"/>
      <c r="D16" s="8"/>
      <c r="E16" s="8"/>
      <c r="F16" s="8"/>
      <c r="G16" s="8"/>
    </row>
    <row r="17" spans="1:8">
      <c r="A17" s="13" t="s">
        <v>169</v>
      </c>
      <c r="B17" s="9">
        <v>21259.37</v>
      </c>
      <c r="C17" s="9">
        <v>13846.699999999999</v>
      </c>
      <c r="D17" s="9">
        <v>15802.339999999998</v>
      </c>
      <c r="E17" s="9">
        <v>12176.339999999998</v>
      </c>
      <c r="F17" s="9">
        <v>15351.979999999998</v>
      </c>
      <c r="G17" s="21">
        <v>8698.64</v>
      </c>
    </row>
    <row r="18" spans="1:8">
      <c r="A18" s="13" t="s">
        <v>168</v>
      </c>
      <c r="B18" s="9">
        <v>556</v>
      </c>
      <c r="C18" s="9">
        <v>800.7</v>
      </c>
      <c r="D18" s="9">
        <v>1045.4000000000001</v>
      </c>
      <c r="E18" s="9">
        <v>1290.1000000000001</v>
      </c>
      <c r="F18" s="9">
        <v>1534.8000000000002</v>
      </c>
      <c r="G18" s="21">
        <v>1779.5</v>
      </c>
    </row>
    <row r="19" spans="1:8">
      <c r="A19" s="13" t="s">
        <v>167</v>
      </c>
      <c r="B19" s="9">
        <v>29452.68</v>
      </c>
      <c r="C19" s="9">
        <v>29137.06</v>
      </c>
      <c r="D19" s="9">
        <v>10731.560000000001</v>
      </c>
      <c r="E19" s="9">
        <v>13070.850000000002</v>
      </c>
      <c r="F19" s="9">
        <v>6194.0400000000018</v>
      </c>
      <c r="G19" s="21">
        <v>3487.28</v>
      </c>
    </row>
    <row r="20" spans="1:8">
      <c r="A20" s="13" t="s">
        <v>166</v>
      </c>
      <c r="B20" s="9">
        <v>0</v>
      </c>
      <c r="C20" s="9">
        <v>37021.269999999997</v>
      </c>
      <c r="D20" s="9">
        <v>17264.969999999998</v>
      </c>
      <c r="E20" s="9">
        <v>13489.199999999997</v>
      </c>
      <c r="F20" s="9">
        <v>6399.9999999999973</v>
      </c>
      <c r="G20" s="21">
        <v>22289.87</v>
      </c>
    </row>
    <row r="21" spans="1:8">
      <c r="A21" s="13" t="s">
        <v>165</v>
      </c>
      <c r="B21" s="9">
        <v>0</v>
      </c>
      <c r="C21" s="9">
        <v>0</v>
      </c>
      <c r="D21" s="9">
        <v>0</v>
      </c>
      <c r="E21" s="9">
        <v>0</v>
      </c>
      <c r="F21" s="9">
        <v>0</v>
      </c>
      <c r="G21" s="9">
        <v>0</v>
      </c>
    </row>
    <row r="22" spans="1:8">
      <c r="A22" s="12" t="s">
        <v>164</v>
      </c>
      <c r="B22" s="10">
        <f t="shared" ref="B22:G22" si="3">B16+B17+B18+B19+B20+B21</f>
        <v>51268.05</v>
      </c>
      <c r="C22" s="10">
        <f t="shared" si="3"/>
        <v>80805.73</v>
      </c>
      <c r="D22" s="10">
        <f t="shared" si="3"/>
        <v>44844.27</v>
      </c>
      <c r="E22" s="10">
        <f t="shared" si="3"/>
        <v>40026.49</v>
      </c>
      <c r="F22" s="10">
        <f t="shared" si="3"/>
        <v>29480.819999999996</v>
      </c>
      <c r="G22" s="10">
        <f t="shared" si="3"/>
        <v>36255.289999999994</v>
      </c>
      <c r="H22" s="18" t="s">
        <v>184</v>
      </c>
    </row>
    <row r="23" spans="1:8">
      <c r="A23" s="6" t="s">
        <v>163</v>
      </c>
      <c r="B23" s="10">
        <f t="shared" ref="B23:G23" si="4">B7+B12+B15+B22</f>
        <v>318350.34000000003</v>
      </c>
      <c r="C23" s="10">
        <f t="shared" si="4"/>
        <v>334626.45999999996</v>
      </c>
      <c r="D23" s="10">
        <f t="shared" si="4"/>
        <v>297960.39</v>
      </c>
      <c r="E23" s="10">
        <f t="shared" si="4"/>
        <v>302255.86</v>
      </c>
      <c r="F23" s="10">
        <f t="shared" si="4"/>
        <v>301087.24</v>
      </c>
      <c r="G23" s="10">
        <f t="shared" si="4"/>
        <v>262518.02999999997</v>
      </c>
    </row>
    <row r="24" spans="1:8">
      <c r="A24" s="3" t="s">
        <v>162</v>
      </c>
      <c r="B24" s="8"/>
      <c r="C24" s="8"/>
      <c r="D24" s="8"/>
      <c r="E24" s="8"/>
      <c r="F24" s="8"/>
      <c r="G24" s="8"/>
    </row>
    <row r="25" spans="1:8">
      <c r="A25" s="5" t="s">
        <v>161</v>
      </c>
      <c r="B25" s="8"/>
      <c r="C25" s="8"/>
      <c r="D25" s="8"/>
      <c r="E25" s="8"/>
      <c r="F25" s="8"/>
      <c r="G25" s="8"/>
    </row>
    <row r="26" spans="1:8">
      <c r="A26" s="13" t="s">
        <v>160</v>
      </c>
      <c r="B26" s="9">
        <v>90221.05</v>
      </c>
      <c r="C26" s="9">
        <v>93999.24</v>
      </c>
      <c r="D26" s="9">
        <v>93999.24</v>
      </c>
      <c r="E26" s="9">
        <v>93999.24</v>
      </c>
      <c r="F26" s="9">
        <v>93999.24</v>
      </c>
      <c r="G26" s="21">
        <v>93999.24</v>
      </c>
    </row>
    <row r="27" spans="1:8">
      <c r="A27" s="13" t="s">
        <v>159</v>
      </c>
      <c r="B27" s="8"/>
      <c r="C27" s="9">
        <v>15000</v>
      </c>
      <c r="D27" s="9">
        <v>15000</v>
      </c>
      <c r="E27" s="9">
        <v>15000</v>
      </c>
      <c r="F27" s="9">
        <v>0</v>
      </c>
      <c r="G27" s="21">
        <v>0</v>
      </c>
    </row>
    <row r="28" spans="1:8">
      <c r="A28" s="13" t="s">
        <v>158</v>
      </c>
      <c r="B28" s="8"/>
      <c r="C28" s="8"/>
      <c r="D28" s="8"/>
      <c r="E28" s="9">
        <v>49627.63</v>
      </c>
      <c r="F28" s="9">
        <v>49627.63</v>
      </c>
      <c r="G28" s="21">
        <v>49627.63</v>
      </c>
    </row>
    <row r="29" spans="1:8">
      <c r="A29" s="12" t="s">
        <v>157</v>
      </c>
      <c r="B29" s="10">
        <f t="shared" ref="B29:G29" si="5">B25+B26+B27+B28</f>
        <v>90221.05</v>
      </c>
      <c r="C29" s="10">
        <f t="shared" si="5"/>
        <v>108999.24</v>
      </c>
      <c r="D29" s="10">
        <f t="shared" si="5"/>
        <v>108999.24</v>
      </c>
      <c r="E29" s="10">
        <f t="shared" si="5"/>
        <v>158626.87</v>
      </c>
      <c r="F29" s="10">
        <f t="shared" si="5"/>
        <v>143626.87</v>
      </c>
      <c r="G29" s="10">
        <f t="shared" si="5"/>
        <v>143626.87</v>
      </c>
    </row>
    <row r="30" spans="1:8">
      <c r="A30" s="5" t="s">
        <v>156</v>
      </c>
      <c r="B30" s="9">
        <v>-77148.97</v>
      </c>
      <c r="C30" s="9">
        <v>-77700.66</v>
      </c>
      <c r="D30" s="9">
        <v>-78252.350000000006</v>
      </c>
      <c r="E30" s="9">
        <v>-79631.170000000013</v>
      </c>
      <c r="F30" s="9">
        <v>-80009.99000000002</v>
      </c>
      <c r="G30" s="21">
        <v>-81138.76</v>
      </c>
      <c r="H30" s="18" t="s">
        <v>184</v>
      </c>
    </row>
    <row r="31" spans="1:8">
      <c r="A31" s="6" t="s">
        <v>155</v>
      </c>
      <c r="B31" s="10">
        <f t="shared" ref="B31:G31" si="6">B24+B29+B30</f>
        <v>13072.080000000002</v>
      </c>
      <c r="C31" s="10">
        <f t="shared" si="6"/>
        <v>31298.58</v>
      </c>
      <c r="D31" s="10">
        <f t="shared" si="6"/>
        <v>30746.89</v>
      </c>
      <c r="E31" s="10">
        <f t="shared" si="6"/>
        <v>78995.699999999983</v>
      </c>
      <c r="F31" s="10">
        <f t="shared" si="6"/>
        <v>63616.879999999976</v>
      </c>
      <c r="G31" s="10">
        <f t="shared" si="6"/>
        <v>62488.109999999971</v>
      </c>
    </row>
    <row r="32" spans="1:8">
      <c r="A32" s="4" t="s">
        <v>154</v>
      </c>
      <c r="B32" s="10">
        <f t="shared" ref="B32:G32" si="7">B23+B31</f>
        <v>331422.42000000004</v>
      </c>
      <c r="C32" s="10">
        <f t="shared" si="7"/>
        <v>365925.04</v>
      </c>
      <c r="D32" s="10">
        <f t="shared" si="7"/>
        <v>328707.28000000003</v>
      </c>
      <c r="E32" s="10">
        <f t="shared" si="7"/>
        <v>381251.55999999994</v>
      </c>
      <c r="F32" s="10">
        <f t="shared" si="7"/>
        <v>364704.12</v>
      </c>
      <c r="G32" s="10">
        <f t="shared" si="7"/>
        <v>325006.13999999996</v>
      </c>
    </row>
    <row r="33" spans="1:7">
      <c r="A33" s="2" t="s">
        <v>153</v>
      </c>
      <c r="B33" s="8"/>
      <c r="C33" s="8"/>
      <c r="D33" s="8"/>
      <c r="E33" s="8"/>
      <c r="F33" s="8"/>
      <c r="G33" s="8"/>
    </row>
    <row r="34" spans="1:7">
      <c r="A34" s="3" t="s">
        <v>152</v>
      </c>
      <c r="B34" s="8"/>
      <c r="C34" s="8"/>
      <c r="D34" s="8"/>
      <c r="E34" s="8"/>
      <c r="F34" s="8"/>
      <c r="G34" s="8"/>
    </row>
    <row r="35" spans="1:7">
      <c r="A35" s="5" t="s">
        <v>151</v>
      </c>
      <c r="B35" s="8"/>
      <c r="C35" s="8"/>
      <c r="D35" s="8"/>
      <c r="E35" s="8"/>
      <c r="F35" s="8"/>
      <c r="G35" s="8"/>
    </row>
    <row r="36" spans="1:7">
      <c r="A36" s="13" t="s">
        <v>150</v>
      </c>
      <c r="B36" s="8"/>
      <c r="C36" s="8"/>
      <c r="D36" s="8"/>
      <c r="E36" s="8"/>
      <c r="F36" s="8"/>
      <c r="G36" s="8"/>
    </row>
    <row r="37" spans="1:7">
      <c r="A37" s="15" t="s">
        <v>149</v>
      </c>
      <c r="B37" s="8"/>
      <c r="C37" s="8"/>
      <c r="D37" s="8"/>
      <c r="E37" s="8"/>
      <c r="F37" s="8"/>
      <c r="G37" s="8"/>
    </row>
    <row r="38" spans="1:7">
      <c r="A38" s="17" t="s">
        <v>148</v>
      </c>
      <c r="B38" s="9">
        <v>0</v>
      </c>
      <c r="C38" s="9">
        <v>0</v>
      </c>
      <c r="D38" s="9">
        <v>0</v>
      </c>
      <c r="E38" s="9">
        <v>0</v>
      </c>
      <c r="F38" s="9">
        <v>0</v>
      </c>
      <c r="G38" s="21">
        <v>0</v>
      </c>
    </row>
    <row r="39" spans="1:7">
      <c r="A39" s="17" t="s">
        <v>147</v>
      </c>
      <c r="B39" s="9">
        <v>0</v>
      </c>
      <c r="C39" s="9">
        <v>0</v>
      </c>
      <c r="D39" s="9">
        <v>0</v>
      </c>
      <c r="E39" s="9">
        <v>0</v>
      </c>
      <c r="F39" s="9">
        <v>0</v>
      </c>
      <c r="G39" s="21">
        <v>0</v>
      </c>
    </row>
    <row r="40" spans="1:7">
      <c r="A40" s="17" t="s">
        <v>146</v>
      </c>
      <c r="B40" s="9">
        <v>-84.94</v>
      </c>
      <c r="C40" s="9">
        <v>-84.94</v>
      </c>
      <c r="D40" s="9">
        <v>0</v>
      </c>
      <c r="E40" s="9">
        <v>0</v>
      </c>
      <c r="F40" s="9">
        <v>0</v>
      </c>
      <c r="G40" s="21">
        <v>0</v>
      </c>
    </row>
    <row r="41" spans="1:7">
      <c r="A41" s="17" t="s">
        <v>145</v>
      </c>
      <c r="B41" s="9">
        <v>0</v>
      </c>
      <c r="C41" s="9">
        <v>0</v>
      </c>
      <c r="D41" s="9">
        <v>0</v>
      </c>
      <c r="E41" s="9">
        <v>0</v>
      </c>
      <c r="F41" s="9">
        <v>0</v>
      </c>
      <c r="G41" s="21">
        <v>0</v>
      </c>
    </row>
    <row r="42" spans="1:7">
      <c r="A42" s="17" t="s">
        <v>144</v>
      </c>
      <c r="B42" s="9">
        <v>0</v>
      </c>
      <c r="C42" s="9">
        <v>0</v>
      </c>
      <c r="D42" s="9">
        <v>1076.27</v>
      </c>
      <c r="E42" s="9">
        <v>0</v>
      </c>
      <c r="F42" s="9">
        <v>0</v>
      </c>
      <c r="G42" s="21">
        <v>0</v>
      </c>
    </row>
    <row r="43" spans="1:7">
      <c r="A43" s="17" t="s">
        <v>143</v>
      </c>
      <c r="B43" s="9">
        <v>0</v>
      </c>
      <c r="C43" s="9">
        <v>339.96</v>
      </c>
      <c r="D43" s="9">
        <v>2940.98</v>
      </c>
      <c r="E43" s="9">
        <v>9.8800000000001091</v>
      </c>
      <c r="F43" s="9">
        <v>1.0835776720341528E-13</v>
      </c>
      <c r="G43" s="21">
        <v>1.08357767203415E-13</v>
      </c>
    </row>
    <row r="44" spans="1:7">
      <c r="A44" s="17" t="s">
        <v>142</v>
      </c>
      <c r="B44" s="9">
        <v>1691.1100000000006</v>
      </c>
      <c r="C44" s="9">
        <v>772.8400000000006</v>
      </c>
      <c r="D44" s="9">
        <v>1635.3700000000006</v>
      </c>
      <c r="E44" s="9">
        <v>15372.04</v>
      </c>
      <c r="F44" s="9">
        <v>5667.4800000000014</v>
      </c>
      <c r="G44" s="21">
        <v>631.640000000001</v>
      </c>
    </row>
    <row r="45" spans="1:7">
      <c r="A45" s="17" t="s">
        <v>141</v>
      </c>
      <c r="B45" s="9">
        <v>0</v>
      </c>
      <c r="C45" s="9">
        <v>0</v>
      </c>
      <c r="D45" s="9">
        <v>0</v>
      </c>
      <c r="E45" s="9">
        <v>0</v>
      </c>
      <c r="F45" s="9">
        <v>0</v>
      </c>
      <c r="G45" s="21">
        <v>0</v>
      </c>
    </row>
    <row r="46" spans="1:7">
      <c r="A46" s="17" t="s">
        <v>140</v>
      </c>
      <c r="B46" s="8"/>
      <c r="C46" s="8"/>
      <c r="D46" s="8"/>
      <c r="E46" s="8"/>
      <c r="F46" s="9">
        <v>28408.42</v>
      </c>
      <c r="G46" s="21">
        <v>2365.77</v>
      </c>
    </row>
    <row r="47" spans="1:7">
      <c r="A47" s="17" t="s">
        <v>139</v>
      </c>
      <c r="B47" s="9">
        <v>0</v>
      </c>
      <c r="C47" s="9">
        <v>0</v>
      </c>
      <c r="D47" s="9">
        <v>0</v>
      </c>
      <c r="E47" s="9">
        <v>0</v>
      </c>
      <c r="F47" s="9">
        <v>0</v>
      </c>
      <c r="G47" s="21">
        <v>0</v>
      </c>
    </row>
    <row r="48" spans="1:7" hidden="true">
      <c r="A48" s="17" t="s">
        <v>138</v>
      </c>
      <c r="B48" s="9">
        <v>0</v>
      </c>
      <c r="C48" s="9">
        <v>0</v>
      </c>
      <c r="D48" s="9">
        <v>0</v>
      </c>
      <c r="E48" s="9">
        <v>0</v>
      </c>
      <c r="F48" s="9">
        <v>0</v>
      </c>
      <c r="G48" s="21">
        <v>0</v>
      </c>
    </row>
    <row r="49" spans="1:8" hidden="true">
      <c r="A49" s="17" t="s">
        <v>137</v>
      </c>
      <c r="B49" s="9">
        <v>0</v>
      </c>
      <c r="C49" s="9">
        <v>0</v>
      </c>
      <c r="D49" s="9">
        <v>0</v>
      </c>
      <c r="E49" s="9">
        <v>0</v>
      </c>
      <c r="F49" s="9">
        <v>0</v>
      </c>
      <c r="G49" s="21">
        <v>0</v>
      </c>
    </row>
    <row r="50" spans="1:8" hidden="true">
      <c r="A50" s="17" t="s">
        <v>136</v>
      </c>
      <c r="B50" s="9">
        <v>0</v>
      </c>
      <c r="C50" s="9">
        <v>0</v>
      </c>
      <c r="D50" s="9">
        <v>0</v>
      </c>
      <c r="E50" s="9">
        <v>0</v>
      </c>
      <c r="F50" s="9">
        <v>0</v>
      </c>
      <c r="G50" s="21">
        <v>0</v>
      </c>
    </row>
    <row r="51" spans="1:8">
      <c r="A51" s="16" t="s">
        <v>135</v>
      </c>
      <c r="B51" s="10">
        <f t="shared" ref="B51:G51" si="8">B37+B38+B39+B40+B41+B42+B43+B44+B45+B46+B47+B48+B49+B50</f>
        <v>1606.1700000000005</v>
      </c>
      <c r="C51" s="10">
        <f t="shared" si="8"/>
        <v>1027.8600000000006</v>
      </c>
      <c r="D51" s="10">
        <f t="shared" si="8"/>
        <v>5652.6200000000008</v>
      </c>
      <c r="E51" s="10">
        <f t="shared" si="8"/>
        <v>15381.920000000002</v>
      </c>
      <c r="F51" s="10">
        <f t="shared" si="8"/>
        <v>34075.9</v>
      </c>
      <c r="G51" s="10">
        <f t="shared" si="8"/>
        <v>2997.409999999998</v>
      </c>
      <c r="H51" s="18" t="s">
        <v>183</v>
      </c>
    </row>
    <row r="52" spans="1:8" hidden="true">
      <c r="A52" s="15" t="s">
        <v>134</v>
      </c>
      <c r="B52" s="9">
        <v>0</v>
      </c>
      <c r="C52" s="9">
        <v>0</v>
      </c>
      <c r="D52" s="9">
        <v>0</v>
      </c>
      <c r="E52" s="9">
        <v>0</v>
      </c>
      <c r="F52" s="9">
        <v>0</v>
      </c>
      <c r="G52" s="9">
        <v>0</v>
      </c>
    </row>
    <row r="53" spans="1:8">
      <c r="A53" s="14" t="s">
        <v>133</v>
      </c>
      <c r="B53" s="10">
        <f t="shared" ref="B53:G53" si="9">B36+B51+B52</f>
        <v>1606.1700000000005</v>
      </c>
      <c r="C53" s="10">
        <f t="shared" si="9"/>
        <v>1027.8600000000006</v>
      </c>
      <c r="D53" s="10">
        <f t="shared" si="9"/>
        <v>5652.6200000000008</v>
      </c>
      <c r="E53" s="10">
        <f t="shared" si="9"/>
        <v>15381.920000000002</v>
      </c>
      <c r="F53" s="10">
        <f t="shared" si="9"/>
        <v>34075.9</v>
      </c>
      <c r="G53" s="10">
        <f t="shared" si="9"/>
        <v>2997.409999999998</v>
      </c>
    </row>
    <row r="54" spans="1:8">
      <c r="A54" s="13" t="s">
        <v>132</v>
      </c>
      <c r="B54" s="8"/>
      <c r="C54" s="8"/>
      <c r="D54" s="8"/>
      <c r="E54" s="8"/>
      <c r="F54" s="8"/>
      <c r="G54" s="8"/>
    </row>
    <row r="55" spans="1:8">
      <c r="A55" s="15" t="s">
        <v>131</v>
      </c>
      <c r="B55" s="9">
        <v>0</v>
      </c>
      <c r="C55" s="9">
        <v>0</v>
      </c>
      <c r="D55" s="9">
        <v>0</v>
      </c>
      <c r="E55" s="9">
        <v>0</v>
      </c>
      <c r="F55" s="9">
        <v>0</v>
      </c>
      <c r="G55" s="21">
        <v>0</v>
      </c>
    </row>
    <row r="56" spans="1:8">
      <c r="A56" s="15" t="s">
        <v>130</v>
      </c>
      <c r="B56" s="9">
        <v>6857.14</v>
      </c>
      <c r="C56" s="9">
        <v>7250.8</v>
      </c>
      <c r="D56" s="9">
        <v>6482.77</v>
      </c>
      <c r="E56" s="9">
        <v>7177.51</v>
      </c>
      <c r="F56" s="9">
        <v>6996.1</v>
      </c>
      <c r="G56" s="21">
        <v>9091.78</v>
      </c>
    </row>
    <row r="57" spans="1:8">
      <c r="A57" s="15" t="s">
        <v>129</v>
      </c>
      <c r="B57" s="9">
        <v>0</v>
      </c>
      <c r="C57" s="9">
        <v>0</v>
      </c>
      <c r="D57" s="9">
        <v>4000</v>
      </c>
      <c r="E57" s="9">
        <v>4000</v>
      </c>
      <c r="F57" s="9">
        <v>4000</v>
      </c>
      <c r="G57" s="21">
        <v>4000</v>
      </c>
    </row>
    <row r="58" spans="1:8">
      <c r="A58" s="15" t="s">
        <v>128</v>
      </c>
      <c r="B58" s="9">
        <v>40.930000000000064</v>
      </c>
      <c r="C58" s="9">
        <v>40.930000000000064</v>
      </c>
      <c r="D58" s="9">
        <v>40.930000000000064</v>
      </c>
      <c r="E58" s="9">
        <v>6.3948846218409017E-14</v>
      </c>
      <c r="F58" s="9">
        <v>6.3948846218409017E-14</v>
      </c>
      <c r="G58" s="21">
        <v>6.3948846218409E-14</v>
      </c>
    </row>
    <row r="59" spans="1:8">
      <c r="A59" s="15" t="s">
        <v>127</v>
      </c>
      <c r="B59" s="9">
        <v>33374.78</v>
      </c>
      <c r="C59" s="9">
        <v>51909.78</v>
      </c>
      <c r="D59" s="9">
        <v>20417.52</v>
      </c>
      <c r="E59" s="9">
        <v>30490.02</v>
      </c>
      <c r="F59" s="9">
        <v>9247.2799999999988</v>
      </c>
      <c r="G59" s="21">
        <v>15092.55</v>
      </c>
    </row>
    <row r="60" spans="1:8">
      <c r="A60" s="15" t="s">
        <v>126</v>
      </c>
      <c r="B60" s="8"/>
      <c r="C60" s="8"/>
      <c r="D60" s="8"/>
      <c r="E60" s="9">
        <v>5723.39</v>
      </c>
      <c r="F60" s="9">
        <v>5746.9500000000007</v>
      </c>
      <c r="G60" s="21">
        <v>5770.61</v>
      </c>
    </row>
    <row r="61" spans="1:8">
      <c r="A61" s="15" t="s">
        <v>125</v>
      </c>
      <c r="B61" s="9">
        <v>5142.79</v>
      </c>
      <c r="C61" s="9">
        <v>5153.13</v>
      </c>
      <c r="D61" s="9">
        <v>2424.33</v>
      </c>
      <c r="E61" s="9">
        <v>2712.31</v>
      </c>
      <c r="F61" s="9">
        <v>2710.81</v>
      </c>
      <c r="G61" s="21">
        <v>2716.59</v>
      </c>
    </row>
    <row r="62" spans="1:8">
      <c r="A62" s="15" t="s">
        <v>124</v>
      </c>
      <c r="B62" s="9">
        <v>0</v>
      </c>
      <c r="C62" s="9">
        <v>0</v>
      </c>
      <c r="D62" s="9">
        <v>0</v>
      </c>
      <c r="E62" s="9">
        <v>0</v>
      </c>
      <c r="F62" s="9">
        <v>0</v>
      </c>
      <c r="G62" s="9">
        <v>0</v>
      </c>
    </row>
    <row r="63" spans="1:8">
      <c r="A63" s="15" t="s">
        <v>123</v>
      </c>
      <c r="B63" s="9">
        <v>0</v>
      </c>
      <c r="C63" s="9">
        <v>0</v>
      </c>
      <c r="D63" s="9">
        <v>0</v>
      </c>
      <c r="E63" s="9">
        <v>0</v>
      </c>
      <c r="F63" s="9">
        <v>0</v>
      </c>
      <c r="G63" s="9">
        <v>0</v>
      </c>
    </row>
    <row r="64" spans="1:8">
      <c r="A64" s="14" t="s">
        <v>122</v>
      </c>
      <c r="B64" s="10">
        <f t="shared" ref="B64:G64" si="10">B54+B55+B56+B57+B58+B59+B60+B61+B62+B63</f>
        <v>45415.64</v>
      </c>
      <c r="C64" s="10">
        <f t="shared" si="10"/>
        <v>64354.64</v>
      </c>
      <c r="D64" s="10">
        <f t="shared" si="10"/>
        <v>33365.550000000003</v>
      </c>
      <c r="E64" s="10">
        <f t="shared" si="10"/>
        <v>50103.229999999996</v>
      </c>
      <c r="F64" s="10">
        <f t="shared" si="10"/>
        <v>28701.14</v>
      </c>
      <c r="G64" s="10">
        <f t="shared" si="10"/>
        <v>36671.53</v>
      </c>
    </row>
    <row r="65" spans="1:8">
      <c r="A65" s="12" t="s">
        <v>121</v>
      </c>
      <c r="B65" s="10">
        <f t="shared" ref="B65:G65" si="11">B35+B53+B64</f>
        <v>47021.81</v>
      </c>
      <c r="C65" s="10">
        <f t="shared" si="11"/>
        <v>65382.5</v>
      </c>
      <c r="D65" s="10">
        <f t="shared" si="11"/>
        <v>39018.170000000006</v>
      </c>
      <c r="E65" s="10">
        <f t="shared" si="11"/>
        <v>65485.149999999994</v>
      </c>
      <c r="F65" s="10">
        <f t="shared" si="11"/>
        <v>62777.04</v>
      </c>
      <c r="G65" s="10">
        <f t="shared" si="11"/>
        <v>39668.939999999995</v>
      </c>
    </row>
    <row r="66" spans="1:8">
      <c r="A66" s="5" t="s">
        <v>120</v>
      </c>
      <c r="B66" s="8"/>
      <c r="C66" s="8"/>
      <c r="D66" s="8"/>
      <c r="E66" s="8"/>
      <c r="F66" s="8"/>
      <c r="G66" s="8"/>
    </row>
    <row r="67" spans="1:8">
      <c r="A67" s="13" t="s">
        <v>119</v>
      </c>
      <c r="B67" s="8"/>
      <c r="C67" s="8"/>
      <c r="D67" s="8"/>
      <c r="E67" s="9">
        <v>18904.240000000002</v>
      </c>
      <c r="F67" s="9">
        <v>18414.43</v>
      </c>
      <c r="G67" s="24">
        <v>17922.6</v>
      </c>
    </row>
    <row r="68" spans="1:8">
      <c r="A68" s="12" t="s">
        <v>118</v>
      </c>
      <c r="B68" s="10"/>
      <c r="C68" s="10"/>
      <c r="D68" s="10"/>
      <c r="E68" s="10">
        <f>E66+E67</f>
        <v>18904.240000000002</v>
      </c>
      <c r="F68" s="10">
        <f>F66+F67</f>
        <v>18414.43</v>
      </c>
      <c r="G68" s="10">
        <f>G66+G67</f>
        <v>17922.599999999999</v>
      </c>
    </row>
    <row r="69" spans="1:8">
      <c r="A69" s="6" t="s">
        <v>117</v>
      </c>
      <c r="B69" s="10">
        <f t="shared" ref="B69:G69" si="12">B34+B65+B68</f>
        <v>47021.81</v>
      </c>
      <c r="C69" s="10">
        <f t="shared" si="12"/>
        <v>65382.5</v>
      </c>
      <c r="D69" s="10">
        <f t="shared" si="12"/>
        <v>39018.170000000006</v>
      </c>
      <c r="E69" s="10">
        <f t="shared" si="12"/>
        <v>84389.39</v>
      </c>
      <c r="F69" s="10">
        <f t="shared" si="12"/>
        <v>81191.47</v>
      </c>
      <c r="G69" s="10">
        <f t="shared" si="12"/>
        <v>57591.539999999994</v>
      </c>
      <c r="H69" s="18" t="s">
        <v>184</v>
      </c>
    </row>
    <row r="70" spans="1:8">
      <c r="A70" s="3" t="s">
        <v>116</v>
      </c>
      <c r="B70" s="8"/>
      <c r="C70" s="8"/>
      <c r="D70" s="8"/>
      <c r="E70" s="8"/>
      <c r="F70" s="8"/>
      <c r="G70" s="8"/>
    </row>
    <row r="71" spans="1:8">
      <c r="A71" s="5" t="s">
        <v>115</v>
      </c>
      <c r="B71" s="9">
        <v>0</v>
      </c>
      <c r="C71" s="9">
        <v>15000</v>
      </c>
      <c r="D71" s="9">
        <v>15000</v>
      </c>
      <c r="E71" s="9">
        <v>15000</v>
      </c>
      <c r="F71" s="9">
        <v>15000</v>
      </c>
      <c r="G71" s="21">
        <v>15000</v>
      </c>
    </row>
    <row r="72" spans="1:8">
      <c r="A72" s="5" t="s">
        <v>114</v>
      </c>
      <c r="B72" s="9">
        <v>-178068.44</v>
      </c>
      <c r="C72" s="9">
        <v>-193068.44</v>
      </c>
      <c r="D72" s="9">
        <v>-213193.38</v>
      </c>
      <c r="E72" s="9">
        <v>-7500</v>
      </c>
      <c r="F72" s="9">
        <v>-12500</v>
      </c>
      <c r="G72" s="21">
        <v>-12500</v>
      </c>
    </row>
    <row r="73" spans="1:8">
      <c r="A73" s="5" t="s">
        <v>113</v>
      </c>
      <c r="B73" s="9">
        <v>0</v>
      </c>
      <c r="C73" s="9">
        <v>0</v>
      </c>
      <c r="D73" s="9">
        <v>0</v>
      </c>
      <c r="E73" s="9">
        <v>0</v>
      </c>
      <c r="F73" s="9">
        <v>0</v>
      </c>
      <c r="G73" s="21">
        <v>0</v>
      </c>
    </row>
    <row r="74" spans="1:8">
      <c r="A74" s="5" t="s">
        <v>112</v>
      </c>
      <c r="B74" s="9">
        <v>1000</v>
      </c>
      <c r="C74" s="9">
        <v>1000</v>
      </c>
      <c r="D74" s="9">
        <v>1000</v>
      </c>
      <c r="E74" s="9">
        <v>1000</v>
      </c>
      <c r="F74" s="9">
        <v>1000</v>
      </c>
      <c r="G74" s="21">
        <v>1000</v>
      </c>
    </row>
    <row r="75" spans="1:8">
      <c r="A75" s="5" t="s">
        <v>111</v>
      </c>
      <c r="B75" s="9">
        <v>263065.01</v>
      </c>
      <c r="C75" s="9">
        <v>263065.01</v>
      </c>
      <c r="D75" s="9">
        <v>263065.01</v>
      </c>
      <c r="E75" s="9">
        <v>273689.11</v>
      </c>
      <c r="F75" s="9">
        <v>273689.11</v>
      </c>
      <c r="G75" s="21">
        <v>273689.11</v>
      </c>
    </row>
    <row r="76" spans="1:8">
      <c r="A76" s="5" t="s">
        <v>98</v>
      </c>
      <c r="B76" s="9">
        <v>198404.04</v>
      </c>
      <c r="C76" s="9">
        <v>214545.97</v>
      </c>
      <c r="D76" s="9">
        <v>223817.47999999998</v>
      </c>
      <c r="E76" s="9">
        <v>14673.06</v>
      </c>
      <c r="F76" s="9">
        <v>6323.53999999999</v>
      </c>
      <c r="G76" s="9">
        <v>-9774.5100000000111</v>
      </c>
    </row>
    <row r="77" spans="1:8">
      <c r="A77" s="6" t="s">
        <v>110</v>
      </c>
      <c r="B77" s="10">
        <f t="shared" ref="B77:G77" si="13">B70+B71+B72+B73+B74+B75+B76</f>
        <v>284400.61</v>
      </c>
      <c r="C77" s="10">
        <f t="shared" si="13"/>
        <v>300542.54000000004</v>
      </c>
      <c r="D77" s="10">
        <f t="shared" si="13"/>
        <v>289689.11</v>
      </c>
      <c r="E77" s="10">
        <f t="shared" si="13"/>
        <v>296862.17</v>
      </c>
      <c r="F77" s="10">
        <f t="shared" si="13"/>
        <v>283512.64999999997</v>
      </c>
      <c r="G77" s="10">
        <f t="shared" si="13"/>
        <v>267414.59999999998</v>
      </c>
    </row>
    <row r="78" spans="1:8">
      <c r="A78" s="4" t="s">
        <v>109</v>
      </c>
      <c r="B78" s="10">
        <f t="shared" ref="B78:G78" si="14">B69+B77</f>
        <v>331422.42</v>
      </c>
      <c r="C78" s="10">
        <f t="shared" si="14"/>
        <v>365925.04000000004</v>
      </c>
      <c r="D78" s="10">
        <f t="shared" si="14"/>
        <v>328707.27999999997</v>
      </c>
      <c r="E78" s="10">
        <f t="shared" si="14"/>
        <v>381251.56</v>
      </c>
      <c r="F78" s="10">
        <f t="shared" si="14"/>
        <v>364704.12</v>
      </c>
      <c r="G78" s="10">
        <f t="shared" si="14"/>
        <v>325006.13999999996</v>
      </c>
    </row>
    <row r="82" spans="1:7">
      <c r="A82" s="31" t="s">
        <v>108</v>
      </c>
      <c r="B82" s="28"/>
      <c r="C82" s="28"/>
      <c r="D82" s="28"/>
      <c r="E82" s="28"/>
      <c r="F82" s="28"/>
      <c r="G82" s="28"/>
    </row>
  </sheetData>
  <mergeCells count="4">
    <mergeCell ref="A1:G1"/>
    <mergeCell ref="A2:G2"/>
    <mergeCell ref="A3:G3"/>
    <mergeCell ref="A82:G8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3FEF-A70D-B944-82F4-C9836B181100}">
  <dimension ref="A1:I106"/>
  <sheetViews>
    <sheetView tabSelected="true" topLeftCell="A9" workbookViewId="0">
      <selection activeCell="I73" sqref="I73"/>
    </sheetView>
  </sheetViews>
  <sheetFormatPr defaultColWidth="11.296875" defaultRowHeight="15.6"/>
  <cols>
    <col customWidth="true" max="1" min="1" style="1" width="38.5"/>
    <col customWidth="true" max="2" min="2" style="1" width="17"/>
    <col customWidth="true" max="4" min="3" style="1" width="16.09765625"/>
    <col customWidth="true" max="5" min="5" style="1" width="17"/>
    <col customWidth="true" max="6" min="6" style="1" width="16.09765625"/>
    <col customWidth="true" max="8" min="7" style="1" width="17"/>
  </cols>
  <sheetData>
    <row r="1" spans="1:9">
      <c r="A1" s="27" t="s">
        <v>0</v>
      </c>
      <c r="B1" s="28"/>
      <c r="C1" s="28"/>
      <c r="D1" s="28"/>
      <c r="E1" s="28"/>
      <c r="F1" s="28"/>
      <c r="G1" s="28"/>
      <c r="H1" s="28"/>
    </row>
    <row r="2" spans="1:9">
      <c r="A2" s="29" t="s">
        <v>1</v>
      </c>
      <c r="B2" s="28"/>
      <c r="C2" s="28"/>
      <c r="D2" s="28"/>
      <c r="E2" s="28"/>
      <c r="F2" s="28"/>
      <c r="G2" s="28"/>
      <c r="H2" s="28"/>
    </row>
    <row r="3" spans="1:9">
      <c r="A3" s="30" t="s">
        <v>2</v>
      </c>
      <c r="B3" s="28"/>
      <c r="C3" s="28"/>
      <c r="D3" s="28"/>
      <c r="E3" s="28"/>
      <c r="F3" s="28"/>
      <c r="G3" s="28"/>
      <c r="H3" s="28"/>
    </row>
    <row r="5" spans="1:9">
      <c r="A5" s="25" t="s">
        <v>192</v>
      </c>
      <c r="B5" s="26">
        <v>23</v>
      </c>
      <c r="C5" s="26">
        <v>20</v>
      </c>
      <c r="D5" s="26">
        <v>23</v>
      </c>
      <c r="E5" s="26">
        <v>22</v>
      </c>
      <c r="F5" s="26">
        <v>20</v>
      </c>
      <c r="G5" s="26">
        <v>22</v>
      </c>
    </row>
    <row r="6" spans="1:9">
      <c r="A6" s="7" t="s">
        <v>99</v>
      </c>
      <c r="B6" s="7" t="s">
        <v>100</v>
      </c>
      <c r="C6" s="7" t="s">
        <v>101</v>
      </c>
      <c r="D6" s="7" t="s">
        <v>102</v>
      </c>
      <c r="E6" s="7" t="s">
        <v>103</v>
      </c>
      <c r="F6" s="7" t="s">
        <v>104</v>
      </c>
      <c r="G6" s="7" t="s">
        <v>105</v>
      </c>
      <c r="H6" s="7" t="s">
        <v>106</v>
      </c>
    </row>
    <row r="7" spans="1:9">
      <c r="A7" s="2" t="s">
        <v>3</v>
      </c>
      <c r="B7" s="8"/>
      <c r="C7" s="8"/>
      <c r="D7" s="8"/>
      <c r="E7" s="8"/>
      <c r="F7" s="8"/>
      <c r="G7" s="8"/>
    </row>
    <row r="8" spans="1:9">
      <c r="A8" s="3" t="s">
        <v>4</v>
      </c>
      <c r="B8" s="9">
        <v>26349.96</v>
      </c>
      <c r="C8" s="9">
        <v>50121.27</v>
      </c>
      <c r="D8" s="9">
        <v>98004.91</v>
      </c>
      <c r="E8" s="9">
        <v>24919.14</v>
      </c>
      <c r="F8" s="9">
        <v>56352.16</v>
      </c>
      <c r="G8" s="33">
        <v>36944.6</v>
      </c>
      <c r="H8" s="9">
        <f t="shared" ref="H8:H13" si="0">B8+C8+D8+E8+F8+G8</f>
        <v>292692.04</v>
      </c>
    </row>
    <row r="9" spans="1:9">
      <c r="A9" s="3" t="s">
        <v>5</v>
      </c>
      <c r="B9" s="9">
        <v>6300</v>
      </c>
      <c r="C9" s="9">
        <v>20685</v>
      </c>
      <c r="D9" s="9">
        <v>4200</v>
      </c>
      <c r="E9" s="9">
        <v>23870</v>
      </c>
      <c r="F9" s="9">
        <v>23635</v>
      </c>
      <c r="G9" s="33">
        <v>9000</v>
      </c>
      <c r="H9" s="9">
        <f t="shared" si="0"/>
        <v>87690</v>
      </c>
      <c r="I9" s="18" t="s">
        <v>185</v>
      </c>
    </row>
    <row r="10" spans="1:9">
      <c r="A10" s="3" t="s">
        <v>6</v>
      </c>
      <c r="B10" s="8"/>
      <c r="C10" s="8"/>
      <c r="D10" s="8"/>
      <c r="E10" s="8"/>
      <c r="F10" s="9">
        <v>15</v>
      </c>
      <c r="G10" s="34"/>
      <c r="H10" s="9">
        <f t="shared" si="0"/>
        <v>15</v>
      </c>
    </row>
    <row r="11" spans="1:9">
      <c r="A11" s="3" t="s">
        <v>7</v>
      </c>
      <c r="B11" s="8"/>
      <c r="C11" s="8"/>
      <c r="D11" s="8"/>
      <c r="E11" s="9">
        <v>85</v>
      </c>
      <c r="F11" s="8"/>
      <c r="G11" s="34"/>
      <c r="H11" s="9">
        <f t="shared" si="0"/>
        <v>85</v>
      </c>
    </row>
    <row r="12" spans="1:9">
      <c r="A12" s="3" t="s">
        <v>8</v>
      </c>
      <c r="B12" s="9">
        <v>-2559.99</v>
      </c>
      <c r="C12" s="8"/>
      <c r="D12" s="9">
        <v>-5119.98</v>
      </c>
      <c r="E12" s="9">
        <v>0.05</v>
      </c>
      <c r="F12" s="9">
        <v>-5119.72</v>
      </c>
      <c r="G12" s="34"/>
      <c r="H12" s="9">
        <f t="shared" si="0"/>
        <v>-12799.64</v>
      </c>
    </row>
    <row r="13" spans="1:9">
      <c r="A13" s="4" t="s">
        <v>9</v>
      </c>
      <c r="B13" s="10">
        <f t="shared" ref="B13:G13" si="1">B8+B9+B10+B11+B12</f>
        <v>30089.97</v>
      </c>
      <c r="C13" s="10">
        <f t="shared" si="1"/>
        <v>70806.27</v>
      </c>
      <c r="D13" s="10">
        <f t="shared" si="1"/>
        <v>97084.93</v>
      </c>
      <c r="E13" s="10">
        <f t="shared" si="1"/>
        <v>48874.19</v>
      </c>
      <c r="F13" s="10">
        <f t="shared" si="1"/>
        <v>74882.44</v>
      </c>
      <c r="G13" s="10">
        <f t="shared" si="1"/>
        <v>45944.6</v>
      </c>
      <c r="H13" s="11">
        <f t="shared" si="0"/>
        <v>367682.4</v>
      </c>
    </row>
    <row r="14" spans="1:9">
      <c r="A14" s="2" t="s">
        <v>10</v>
      </c>
      <c r="B14" s="8"/>
      <c r="C14" s="8"/>
      <c r="D14" s="8"/>
      <c r="E14" s="8"/>
      <c r="F14" s="8"/>
      <c r="G14" s="8"/>
    </row>
    <row r="15" spans="1:9">
      <c r="A15" s="3" t="s">
        <v>11</v>
      </c>
      <c r="B15" s="8"/>
      <c r="C15" s="8"/>
      <c r="D15" s="8"/>
      <c r="E15" s="8"/>
      <c r="F15" s="8"/>
      <c r="G15" s="8"/>
      <c r="H15" s="8"/>
    </row>
    <row r="16" spans="1:9">
      <c r="A16" s="5" t="s">
        <v>12</v>
      </c>
      <c r="B16" s="8"/>
      <c r="C16" s="8"/>
      <c r="D16" s="8"/>
      <c r="E16" s="9">
        <v>250</v>
      </c>
      <c r="F16" s="8"/>
      <c r="G16" s="33">
        <v>250</v>
      </c>
      <c r="H16" s="9">
        <f>B16+C16+D16+E16+F16+G16</f>
        <v>500</v>
      </c>
      <c r="I16" s="18" t="s">
        <v>188</v>
      </c>
    </row>
    <row r="17" spans="1:9">
      <c r="A17" s="5" t="s">
        <v>13</v>
      </c>
      <c r="B17" s="8"/>
      <c r="C17" s="9">
        <v>339.96</v>
      </c>
      <c r="D17" s="9">
        <v>2766.82</v>
      </c>
      <c r="E17" s="9">
        <v>59.78</v>
      </c>
      <c r="F17" s="8"/>
      <c r="G17" s="34"/>
      <c r="H17" s="9">
        <f>B17+C17+D17+E17+F17+G17</f>
        <v>3166.56</v>
      </c>
    </row>
    <row r="18" spans="1:9">
      <c r="A18" s="5" t="s">
        <v>14</v>
      </c>
      <c r="B18" s="9">
        <v>300</v>
      </c>
      <c r="C18" s="9">
        <v>300</v>
      </c>
      <c r="D18" s="9">
        <v>900</v>
      </c>
      <c r="E18" s="9">
        <v>375</v>
      </c>
      <c r="F18" s="9">
        <v>600</v>
      </c>
      <c r="G18" s="34"/>
      <c r="H18" s="9">
        <f>B18+C18+D18+E18+F18+G18</f>
        <v>2475</v>
      </c>
    </row>
    <row r="19" spans="1:9">
      <c r="A19" s="5" t="s">
        <v>15</v>
      </c>
      <c r="B19" s="9">
        <v>5544.11</v>
      </c>
      <c r="C19" s="9">
        <v>9854.17</v>
      </c>
      <c r="D19" s="9">
        <v>22058.72</v>
      </c>
      <c r="E19" s="9">
        <v>5513.77</v>
      </c>
      <c r="F19" s="9">
        <v>8930.1</v>
      </c>
      <c r="G19" s="33">
        <v>8566.67</v>
      </c>
      <c r="H19" s="9">
        <f>B19+C19+D19+E19+F19+G19</f>
        <v>60467.54</v>
      </c>
      <c r="I19" s="18" t="s">
        <v>186</v>
      </c>
    </row>
    <row r="20" spans="1:9">
      <c r="A20" s="6" t="s">
        <v>16</v>
      </c>
      <c r="B20" s="10">
        <f t="shared" ref="B20:G20" si="2">B15+B16+B17+B18+B19</f>
        <v>5844.11</v>
      </c>
      <c r="C20" s="10">
        <f t="shared" si="2"/>
        <v>10494.13</v>
      </c>
      <c r="D20" s="10">
        <f t="shared" si="2"/>
        <v>25725.54</v>
      </c>
      <c r="E20" s="10">
        <f t="shared" si="2"/>
        <v>6198.55</v>
      </c>
      <c r="F20" s="10">
        <f t="shared" si="2"/>
        <v>9530.1</v>
      </c>
      <c r="G20" s="10">
        <f t="shared" si="2"/>
        <v>8816.67</v>
      </c>
      <c r="H20" s="11">
        <f>B20+C20+D20+E20+F20+G20</f>
        <v>66609.1</v>
      </c>
    </row>
    <row r="21" spans="1:9">
      <c r="A21" s="3" t="s">
        <v>17</v>
      </c>
      <c r="B21" s="8"/>
      <c r="C21" s="8"/>
      <c r="D21" s="8"/>
      <c r="E21" s="8"/>
      <c r="F21" s="8"/>
      <c r="G21" s="8"/>
      <c r="H21" s="8"/>
    </row>
    <row r="22" spans="1:9">
      <c r="A22" s="5" t="s">
        <v>18</v>
      </c>
      <c r="B22" s="9">
        <v>2000</v>
      </c>
      <c r="C22" s="9">
        <v>2000</v>
      </c>
      <c r="D22" s="9">
        <v>2000</v>
      </c>
      <c r="E22" s="9">
        <v>2000</v>
      </c>
      <c r="F22" s="9">
        <v>2000</v>
      </c>
      <c r="G22" s="21">
        <v>2000</v>
      </c>
      <c r="H22" s="9">
        <f t="shared" ref="H22:H28" si="3">B22+C22+D22+E22+F22+G22</f>
        <v>12000</v>
      </c>
      <c r="I22" s="18" t="s">
        <v>187</v>
      </c>
    </row>
    <row r="23" spans="1:9">
      <c r="A23" s="5" t="s">
        <v>19</v>
      </c>
      <c r="B23" s="9">
        <v>4887.94</v>
      </c>
      <c r="C23" s="9">
        <v>5877.24</v>
      </c>
      <c r="D23" s="9">
        <v>16102.89</v>
      </c>
      <c r="E23" s="9">
        <v>8099.66</v>
      </c>
      <c r="F23" s="9">
        <v>13819.61</v>
      </c>
      <c r="G23" s="21">
        <v>9672.15</v>
      </c>
      <c r="H23" s="9">
        <f t="shared" si="3"/>
        <v>58459.49</v>
      </c>
    </row>
    <row r="24" spans="1:9">
      <c r="A24" s="5" t="s">
        <v>20</v>
      </c>
      <c r="B24" s="9">
        <v>902.73</v>
      </c>
      <c r="C24" s="9">
        <v>957.21</v>
      </c>
      <c r="D24" s="9">
        <v>953.89</v>
      </c>
      <c r="E24" s="9">
        <v>945.03</v>
      </c>
      <c r="F24" s="9">
        <v>863.55</v>
      </c>
      <c r="G24" s="21">
        <v>872.04</v>
      </c>
      <c r="H24" s="9">
        <f t="shared" si="3"/>
        <v>5494.45</v>
      </c>
    </row>
    <row r="25" spans="1:9">
      <c r="A25" s="5" t="s">
        <v>21</v>
      </c>
      <c r="B25" s="9">
        <v>334.47</v>
      </c>
      <c r="C25" s="9">
        <v>737.73</v>
      </c>
      <c r="D25" s="9">
        <v>749.75</v>
      </c>
      <c r="E25" s="9">
        <v>30</v>
      </c>
      <c r="F25" s="8"/>
      <c r="G25" s="33">
        <v>528.64</v>
      </c>
      <c r="H25" s="9">
        <f t="shared" si="3"/>
        <v>2380.59</v>
      </c>
    </row>
    <row r="26" spans="1:9">
      <c r="A26" s="6" t="s">
        <v>22</v>
      </c>
      <c r="B26" s="10">
        <f t="shared" ref="B26:G26" si="4">B21+B22+B23+B24+B25</f>
        <v>8125.14</v>
      </c>
      <c r="C26" s="10">
        <f t="shared" si="4"/>
        <v>9572.18</v>
      </c>
      <c r="D26" s="10">
        <f t="shared" si="4"/>
        <v>19806.53</v>
      </c>
      <c r="E26" s="10">
        <f t="shared" si="4"/>
        <v>11074.69</v>
      </c>
      <c r="F26" s="10">
        <f t="shared" si="4"/>
        <v>16683.16</v>
      </c>
      <c r="G26" s="10">
        <f t="shared" si="4"/>
        <v>13072.83</v>
      </c>
      <c r="H26" s="11">
        <f t="shared" si="3"/>
        <v>78334.53</v>
      </c>
    </row>
    <row r="27" spans="1:9">
      <c r="A27" s="4" t="s">
        <v>23</v>
      </c>
      <c r="B27" s="10">
        <f t="shared" ref="B27:G27" si="5">B20+B26</f>
        <v>13969.25</v>
      </c>
      <c r="C27" s="10">
        <f t="shared" si="5"/>
        <v>20066.31</v>
      </c>
      <c r="D27" s="10">
        <f t="shared" si="5"/>
        <v>45532.07</v>
      </c>
      <c r="E27" s="10">
        <f t="shared" si="5"/>
        <v>17273.24</v>
      </c>
      <c r="F27" s="10">
        <f t="shared" si="5"/>
        <v>26213.26</v>
      </c>
      <c r="G27" s="10">
        <f t="shared" si="5"/>
        <v>21889.5</v>
      </c>
      <c r="H27" s="11">
        <f t="shared" si="3"/>
        <v>144943.63</v>
      </c>
    </row>
    <row r="28" spans="1:9">
      <c r="A28" s="4" t="s">
        <v>24</v>
      </c>
      <c r="B28" s="10">
        <f t="shared" ref="B28:G28" si="6">B13-B27</f>
        <v>16120.72</v>
      </c>
      <c r="C28" s="10">
        <f t="shared" si="6"/>
        <v>50739.96</v>
      </c>
      <c r="D28" s="10">
        <f t="shared" si="6"/>
        <v>51552.86</v>
      </c>
      <c r="E28" s="10">
        <f t="shared" si="6"/>
        <v>31600.95</v>
      </c>
      <c r="F28" s="10">
        <f t="shared" si="6"/>
        <v>48669.18</v>
      </c>
      <c r="G28" s="35">
        <f t="shared" si="6"/>
        <v>24055.1</v>
      </c>
      <c r="H28" s="11">
        <f t="shared" si="3"/>
        <v>222738.77</v>
      </c>
    </row>
    <row r="29" spans="1:9">
      <c r="A29" s="2" t="s">
        <v>25</v>
      </c>
      <c r="B29" s="8"/>
      <c r="C29" s="8"/>
      <c r="D29" s="8"/>
      <c r="E29" s="8"/>
      <c r="F29" s="8"/>
      <c r="G29" s="8"/>
    </row>
    <row r="30" spans="1:9">
      <c r="A30" s="3" t="s">
        <v>26</v>
      </c>
      <c r="B30" s="8"/>
      <c r="C30" s="8"/>
      <c r="D30" s="8"/>
      <c r="E30" s="8"/>
      <c r="F30" s="8"/>
      <c r="G30" s="8"/>
      <c r="H30" s="8"/>
    </row>
    <row r="31" spans="1:9">
      <c r="A31" s="5" t="s">
        <v>27</v>
      </c>
      <c r="B31" s="9">
        <v>8000</v>
      </c>
      <c r="C31" s="9">
        <v>8227.27</v>
      </c>
      <c r="D31" s="9">
        <v>7772.73</v>
      </c>
      <c r="E31" s="9">
        <v>8227.27</v>
      </c>
      <c r="F31" s="9">
        <v>8000</v>
      </c>
      <c r="G31" s="21">
        <v>7772.73</v>
      </c>
      <c r="H31" s="9">
        <f>B31+C31+D31+E31+F31+G31</f>
        <v>48000</v>
      </c>
      <c r="I31" s="18" t="s">
        <v>189</v>
      </c>
    </row>
    <row r="32" spans="1:9">
      <c r="A32" s="5" t="s">
        <v>28</v>
      </c>
      <c r="B32" s="9">
        <v>765</v>
      </c>
      <c r="C32" s="9">
        <v>782.39</v>
      </c>
      <c r="D32" s="9">
        <v>747.61</v>
      </c>
      <c r="E32" s="9">
        <v>853.04</v>
      </c>
      <c r="F32" s="9">
        <v>765.15</v>
      </c>
      <c r="G32" s="21">
        <v>747.61</v>
      </c>
      <c r="H32" s="9">
        <f>B32+C32+D32+E32+F32+G32</f>
        <v>4660.8</v>
      </c>
    </row>
    <row r="33" spans="1:9">
      <c r="A33" s="5" t="s">
        <v>29</v>
      </c>
      <c r="B33" s="9">
        <v>345.3</v>
      </c>
      <c r="C33" s="9">
        <v>345.3</v>
      </c>
      <c r="D33" s="9">
        <v>345.3</v>
      </c>
      <c r="E33" s="9">
        <v>337.98</v>
      </c>
      <c r="F33" s="9">
        <v>337.98</v>
      </c>
      <c r="G33" s="21">
        <v>337.98</v>
      </c>
      <c r="H33" s="9">
        <f>B33+C33+D33+E33+F33+G33</f>
        <v>2049.84</v>
      </c>
    </row>
    <row r="34" spans="1:9">
      <c r="A34" s="6" t="s">
        <v>30</v>
      </c>
      <c r="B34" s="10">
        <f t="shared" ref="B34:G34" si="7">B30+B31+B32+B33</f>
        <v>9110.3</v>
      </c>
      <c r="C34" s="10">
        <f t="shared" si="7"/>
        <v>9354.96</v>
      </c>
      <c r="D34" s="10">
        <f t="shared" si="7"/>
        <v>8865.64</v>
      </c>
      <c r="E34" s="10">
        <f t="shared" si="7"/>
        <v>9418.29</v>
      </c>
      <c r="F34" s="10">
        <f t="shared" si="7"/>
        <v>9103.13</v>
      </c>
      <c r="G34" s="10">
        <f t="shared" si="7"/>
        <v>8858.32</v>
      </c>
      <c r="H34" s="11">
        <f>B34+C34+D34+E34+F34+G34</f>
        <v>54710.64</v>
      </c>
    </row>
    <row r="35" spans="1:9">
      <c r="A35" s="3" t="s">
        <v>31</v>
      </c>
      <c r="B35" s="8"/>
      <c r="C35" s="8"/>
      <c r="D35" s="8"/>
      <c r="E35" s="8"/>
      <c r="F35" s="8"/>
      <c r="G35" s="8"/>
      <c r="H35" s="8"/>
    </row>
    <row r="36" spans="1:9">
      <c r="A36" s="5" t="s">
        <v>32</v>
      </c>
      <c r="B36" s="9">
        <v>6728.79</v>
      </c>
      <c r="C36" s="9">
        <v>6940.75</v>
      </c>
      <c r="D36" s="9">
        <v>6516.83</v>
      </c>
      <c r="E36" s="9">
        <v>7013.25</v>
      </c>
      <c r="F36" s="9">
        <v>6823.79</v>
      </c>
      <c r="G36" s="33">
        <v>8250.94</v>
      </c>
      <c r="H36" s="9">
        <f t="shared" ref="H36:H41" si="8">B36+C36+D36+E36+F36+G36</f>
        <v>42274.35</v>
      </c>
      <c r="I36" s="18" t="s">
        <v>189</v>
      </c>
    </row>
    <row r="37" spans="1:9">
      <c r="A37" s="5" t="s">
        <v>33</v>
      </c>
      <c r="B37" s="9">
        <v>369.38</v>
      </c>
      <c r="C37" s="9">
        <v>374.34</v>
      </c>
      <c r="D37" s="9">
        <v>383.48</v>
      </c>
      <c r="E37" s="9">
        <v>396.42</v>
      </c>
      <c r="F37" s="9">
        <v>374.78</v>
      </c>
      <c r="G37" s="33">
        <v>511.54</v>
      </c>
      <c r="H37" s="9">
        <f t="shared" si="8"/>
        <v>2409.94</v>
      </c>
    </row>
    <row r="38" spans="1:9">
      <c r="A38" s="5" t="s">
        <v>34</v>
      </c>
      <c r="B38" s="9">
        <v>91.35</v>
      </c>
      <c r="C38" s="9">
        <v>0</v>
      </c>
      <c r="D38" s="9">
        <v>95</v>
      </c>
      <c r="E38" s="9">
        <v>0</v>
      </c>
      <c r="F38" s="9">
        <v>0</v>
      </c>
      <c r="G38" s="33">
        <v>159.09</v>
      </c>
      <c r="H38" s="9">
        <f t="shared" si="8"/>
        <v>345.44</v>
      </c>
    </row>
    <row r="39" spans="1:9">
      <c r="A39" s="5" t="s">
        <v>35</v>
      </c>
      <c r="B39" s="9">
        <v>489.91</v>
      </c>
      <c r="C39" s="9">
        <v>525.04</v>
      </c>
      <c r="D39" s="9">
        <v>512.88</v>
      </c>
      <c r="E39" s="9">
        <v>493.61</v>
      </c>
      <c r="F39" s="9">
        <v>496.09</v>
      </c>
      <c r="G39" s="21">
        <v>488.29</v>
      </c>
      <c r="H39" s="9">
        <f t="shared" si="8"/>
        <v>3005.82</v>
      </c>
    </row>
    <row r="40" spans="1:9">
      <c r="A40" s="5" t="s">
        <v>36</v>
      </c>
      <c r="B40" s="9">
        <v>191.46</v>
      </c>
      <c r="C40" s="9">
        <v>148.17</v>
      </c>
      <c r="D40" s="9">
        <v>97.01</v>
      </c>
      <c r="E40" s="9">
        <v>202.52</v>
      </c>
      <c r="F40" s="9">
        <v>164.16</v>
      </c>
      <c r="G40" s="21">
        <v>154.55</v>
      </c>
      <c r="H40" s="9">
        <f t="shared" si="8"/>
        <v>957.87</v>
      </c>
    </row>
    <row r="41" spans="1:9">
      <c r="A41" s="6" t="s">
        <v>37</v>
      </c>
      <c r="B41" s="10">
        <f t="shared" ref="B41:G41" si="9">B35+B36+B37+B38+B39+B40</f>
        <v>7870.89</v>
      </c>
      <c r="C41" s="10">
        <f t="shared" si="9"/>
        <v>7988.3</v>
      </c>
      <c r="D41" s="10">
        <f t="shared" si="9"/>
        <v>7605.2</v>
      </c>
      <c r="E41" s="10">
        <f t="shared" si="9"/>
        <v>8105.8</v>
      </c>
      <c r="F41" s="10">
        <f t="shared" si="9"/>
        <v>7858.82</v>
      </c>
      <c r="G41" s="10">
        <f t="shared" si="9"/>
        <v>9564.41</v>
      </c>
      <c r="H41" s="11">
        <f t="shared" si="8"/>
        <v>48993.42</v>
      </c>
    </row>
    <row r="42" spans="1:9">
      <c r="A42" s="3" t="s">
        <v>38</v>
      </c>
      <c r="B42" s="8"/>
      <c r="C42" s="8"/>
      <c r="D42" s="8"/>
      <c r="E42" s="8"/>
      <c r="F42" s="8"/>
      <c r="G42" s="8"/>
      <c r="H42" s="8"/>
    </row>
    <row r="43" spans="1:9">
      <c r="A43" s="5" t="s">
        <v>39</v>
      </c>
      <c r="B43" s="9">
        <v>347.78</v>
      </c>
      <c r="C43" s="9">
        <v>204.52</v>
      </c>
      <c r="D43" s="9">
        <v>267.25</v>
      </c>
      <c r="E43" s="9">
        <v>468.13</v>
      </c>
      <c r="F43" s="9">
        <v>1047.26</v>
      </c>
      <c r="G43" s="33">
        <v>2307.26</v>
      </c>
      <c r="H43" s="9">
        <f>B43+C43+D43+E43+F43+G43</f>
        <v>4642.2</v>
      </c>
      <c r="I43" s="18" t="s">
        <v>190</v>
      </c>
    </row>
    <row r="44" spans="1:9">
      <c r="A44" s="6" t="s">
        <v>40</v>
      </c>
      <c r="B44" s="10">
        <f t="shared" ref="B44:G44" si="10">B42+B43</f>
        <v>347.78</v>
      </c>
      <c r="C44" s="10">
        <f t="shared" si="10"/>
        <v>204.52</v>
      </c>
      <c r="D44" s="10">
        <f t="shared" si="10"/>
        <v>267.25</v>
      </c>
      <c r="E44" s="10">
        <f t="shared" si="10"/>
        <v>468.13</v>
      </c>
      <c r="F44" s="10">
        <f t="shared" si="10"/>
        <v>1047.26</v>
      </c>
      <c r="G44" s="10">
        <f t="shared" si="10"/>
        <v>2307.26</v>
      </c>
      <c r="H44" s="11">
        <f>B44+C44+D44+E44+F44+G44</f>
        <v>4642.2</v>
      </c>
    </row>
    <row r="45" spans="1:9">
      <c r="A45" s="3" t="s">
        <v>41</v>
      </c>
      <c r="B45" s="8"/>
      <c r="C45" s="8"/>
      <c r="D45" s="8"/>
      <c r="E45" s="8"/>
      <c r="F45" s="8"/>
      <c r="G45" s="8"/>
      <c r="H45" s="8"/>
    </row>
    <row r="46" spans="1:9">
      <c r="A46" s="5" t="s">
        <v>42</v>
      </c>
      <c r="B46" s="9">
        <v>360.35</v>
      </c>
      <c r="C46" s="9">
        <v>261.41</v>
      </c>
      <c r="D46" s="9">
        <v>375.68</v>
      </c>
      <c r="E46" s="9">
        <v>226.76</v>
      </c>
      <c r="F46" s="9">
        <v>3337.67</v>
      </c>
      <c r="G46" s="33">
        <v>362.05</v>
      </c>
      <c r="H46" s="9">
        <f>B46+C46+D46+E46+F46+G46</f>
        <v>4923.92</v>
      </c>
    </row>
    <row r="47" spans="1:9">
      <c r="A47" s="5" t="s">
        <v>43</v>
      </c>
      <c r="B47" s="9">
        <v>1931.22</v>
      </c>
      <c r="C47" s="9">
        <v>0</v>
      </c>
      <c r="D47" s="9">
        <v>687.37</v>
      </c>
      <c r="E47" s="9">
        <v>132.65</v>
      </c>
      <c r="F47" s="9">
        <v>153.6</v>
      </c>
      <c r="G47" s="36">
        <v>0</v>
      </c>
      <c r="H47" s="9">
        <f>B47+C47+D47+E47+F47+G47</f>
        <v>2904.84</v>
      </c>
    </row>
    <row r="48" spans="1:9">
      <c r="A48" s="5" t="s">
        <v>44</v>
      </c>
      <c r="B48" s="9">
        <v>1784.39</v>
      </c>
      <c r="C48" s="9">
        <v>1433.46</v>
      </c>
      <c r="D48" s="9">
        <v>1613.39</v>
      </c>
      <c r="E48" s="9">
        <v>2057.12</v>
      </c>
      <c r="F48" s="9">
        <v>1406.17</v>
      </c>
      <c r="G48" s="33">
        <v>2811.97</v>
      </c>
      <c r="H48" s="9">
        <f>B48+C48+D48+E48+F48+G48</f>
        <v>11106.5</v>
      </c>
    </row>
    <row r="49" spans="1:8">
      <c r="A49" s="6" t="s">
        <v>45</v>
      </c>
      <c r="B49" s="10">
        <f t="shared" ref="B49:G49" si="11">B45+B46+B47+B48</f>
        <v>4075.96</v>
      </c>
      <c r="C49" s="10">
        <f t="shared" si="11"/>
        <v>1694.87</v>
      </c>
      <c r="D49" s="10">
        <f t="shared" si="11"/>
        <v>2676.44</v>
      </c>
      <c r="E49" s="10">
        <f t="shared" si="11"/>
        <v>2416.53</v>
      </c>
      <c r="F49" s="10">
        <f t="shared" si="11"/>
        <v>4897.44</v>
      </c>
      <c r="G49" s="10">
        <f t="shared" si="11"/>
        <v>3174.02</v>
      </c>
      <c r="H49" s="11">
        <f>B49+C49+D49+E49+F49+G49</f>
        <v>18935.26</v>
      </c>
    </row>
    <row r="50" spans="1:8">
      <c r="A50" s="3" t="s">
        <v>46</v>
      </c>
      <c r="B50" s="8"/>
      <c r="C50" s="8"/>
      <c r="D50" s="8"/>
      <c r="E50" s="8"/>
      <c r="F50" s="8"/>
      <c r="G50" s="8"/>
      <c r="H50" s="8"/>
    </row>
    <row r="51" spans="1:8">
      <c r="A51" s="5" t="s">
        <v>47</v>
      </c>
      <c r="B51" s="9">
        <v>364.6</v>
      </c>
      <c r="C51" s="9">
        <v>140.17</v>
      </c>
      <c r="D51" s="9">
        <v>410.51</v>
      </c>
      <c r="E51" s="9">
        <v>293.76</v>
      </c>
      <c r="F51" s="9">
        <v>262.24</v>
      </c>
      <c r="G51" s="33">
        <v>182.42</v>
      </c>
      <c r="H51" s="9">
        <f>B51+C51+D51+E51+F51+G51</f>
        <v>1653.7</v>
      </c>
    </row>
    <row r="52" spans="1:8">
      <c r="A52" s="5" t="s">
        <v>48</v>
      </c>
      <c r="B52" s="8"/>
      <c r="C52" s="8"/>
      <c r="D52" s="9">
        <v>810.96</v>
      </c>
      <c r="E52" s="9">
        <v>0</v>
      </c>
      <c r="F52" s="8"/>
      <c r="G52" s="34"/>
      <c r="H52" s="9">
        <f>B52+C52+D52+E52+F52+G52</f>
        <v>810.96</v>
      </c>
    </row>
    <row r="53" spans="1:8">
      <c r="A53" s="5" t="s">
        <v>49</v>
      </c>
      <c r="B53" s="9">
        <v>604.8</v>
      </c>
      <c r="C53" s="8"/>
      <c r="D53" s="9">
        <v>1242.37</v>
      </c>
      <c r="E53" s="9">
        <v>-23.91</v>
      </c>
      <c r="F53" s="8"/>
      <c r="G53" s="33">
        <v>542.71</v>
      </c>
      <c r="H53" s="9">
        <f>B53+C53+D53+E53+F53+G53</f>
        <v>2365.97</v>
      </c>
    </row>
    <row r="54" spans="1:8">
      <c r="A54" s="6" t="s">
        <v>50</v>
      </c>
      <c r="B54" s="10">
        <f t="shared" ref="B54:G54" si="12">B50+B51+B52+B53</f>
        <v>969.4</v>
      </c>
      <c r="C54" s="10">
        <f t="shared" si="12"/>
        <v>140.17</v>
      </c>
      <c r="D54" s="10">
        <f t="shared" si="12"/>
        <v>2463.84</v>
      </c>
      <c r="E54" s="10">
        <f t="shared" si="12"/>
        <v>269.85</v>
      </c>
      <c r="F54" s="10">
        <f t="shared" si="12"/>
        <v>262.24</v>
      </c>
      <c r="G54" s="10">
        <f t="shared" si="12"/>
        <v>725.13</v>
      </c>
      <c r="H54" s="11">
        <f>B54+C54+D54+E54+F54+G54</f>
        <v>4830.63</v>
      </c>
    </row>
    <row r="55" spans="1:8">
      <c r="A55" s="3" t="s">
        <v>51</v>
      </c>
      <c r="B55" s="8"/>
      <c r="C55" s="8"/>
      <c r="D55" s="8"/>
      <c r="E55" s="8"/>
      <c r="F55" s="8"/>
      <c r="G55" s="8"/>
      <c r="H55" s="8"/>
    </row>
    <row r="56" spans="1:8">
      <c r="A56" s="5" t="s">
        <v>52</v>
      </c>
      <c r="B56" s="9">
        <v>48.65</v>
      </c>
      <c r="C56" s="8"/>
      <c r="D56" s="9">
        <v>93.38</v>
      </c>
      <c r="E56" s="9">
        <v>57.18</v>
      </c>
      <c r="F56" s="9">
        <v>63.23</v>
      </c>
      <c r="G56" s="33">
        <v>86.54</v>
      </c>
      <c r="H56" s="9">
        <f>B56+C56+D56+E56+F56+G56</f>
        <v>348.98</v>
      </c>
    </row>
    <row r="57" spans="1:8">
      <c r="A57" s="5" t="s">
        <v>53</v>
      </c>
      <c r="B57" s="9">
        <v>51.63</v>
      </c>
      <c r="C57" s="8"/>
      <c r="D57" s="9">
        <v>135.58</v>
      </c>
      <c r="E57" s="8"/>
      <c r="F57" s="8"/>
      <c r="G57" s="33">
        <v>243.25</v>
      </c>
      <c r="H57" s="9">
        <f>B57+C57+D57+E57+F57+G57</f>
        <v>430.46</v>
      </c>
    </row>
    <row r="58" spans="1:8">
      <c r="A58" s="5" t="s">
        <v>54</v>
      </c>
      <c r="B58" s="8"/>
      <c r="C58" s="8"/>
      <c r="D58" s="9">
        <v>4516</v>
      </c>
      <c r="E58" s="9">
        <v>500</v>
      </c>
      <c r="F58" s="9">
        <v>66.56</v>
      </c>
      <c r="G58" s="33">
        <v>52.99</v>
      </c>
      <c r="H58" s="9">
        <f>B58+C58+D58+E58+F58+G58</f>
        <v>5135.55</v>
      </c>
    </row>
    <row r="59" spans="1:8">
      <c r="A59" s="6" t="s">
        <v>55</v>
      </c>
      <c r="B59" s="10">
        <f>B55+B56+B57+B58</f>
        <v>100.28</v>
      </c>
      <c r="C59" s="10"/>
      <c r="D59" s="10">
        <f>D55+D56+D57+D58</f>
        <v>4744.96</v>
      </c>
      <c r="E59" s="10">
        <f>E55+E56+E57+E58</f>
        <v>557.18</v>
      </c>
      <c r="F59" s="10">
        <f>F55+F56+F57+F58</f>
        <v>129.79</v>
      </c>
      <c r="G59" s="10">
        <f>G55+G56+G57+G58</f>
        <v>382.78</v>
      </c>
      <c r="H59" s="11">
        <f>B59+C59+D59+E59+F59+G59</f>
        <v>5914.99</v>
      </c>
    </row>
    <row r="60" spans="1:8">
      <c r="A60" s="3" t="s">
        <v>56</v>
      </c>
      <c r="B60" s="8"/>
      <c r="C60" s="8"/>
      <c r="D60" s="8"/>
      <c r="E60" s="8"/>
      <c r="F60" s="8"/>
      <c r="G60" s="8"/>
      <c r="H60" s="8"/>
    </row>
    <row r="61" spans="1:8">
      <c r="A61" s="5" t="s">
        <v>57</v>
      </c>
      <c r="B61" s="9">
        <v>3500</v>
      </c>
      <c r="C61" s="9">
        <v>4172.5</v>
      </c>
      <c r="D61" s="9">
        <v>4000</v>
      </c>
      <c r="E61" s="9">
        <v>4000</v>
      </c>
      <c r="F61" s="9">
        <v>4000</v>
      </c>
      <c r="G61" s="21">
        <v>4000</v>
      </c>
      <c r="H61" s="9">
        <f>B61+C61+D61+E61+F61+G61</f>
        <v>23672.5</v>
      </c>
    </row>
    <row r="62" spans="1:8">
      <c r="A62" s="5" t="s">
        <v>58</v>
      </c>
      <c r="B62" s="9">
        <v>100</v>
      </c>
      <c r="C62" s="9">
        <v>100</v>
      </c>
      <c r="D62" s="9">
        <v>100</v>
      </c>
      <c r="E62" s="9">
        <v>100</v>
      </c>
      <c r="F62" s="9">
        <v>100</v>
      </c>
      <c r="G62" s="21">
        <v>100</v>
      </c>
      <c r="H62" s="9">
        <f>B62+C62+D62+E62+F62+G62</f>
        <v>600</v>
      </c>
    </row>
    <row r="63" spans="1:8">
      <c r="A63" s="5" t="s">
        <v>59</v>
      </c>
      <c r="B63" s="9">
        <v>330.32</v>
      </c>
      <c r="C63" s="9">
        <v>312.24</v>
      </c>
      <c r="D63" s="9">
        <v>316.72</v>
      </c>
      <c r="E63" s="9">
        <v>324.73</v>
      </c>
      <c r="F63" s="9">
        <v>115.99</v>
      </c>
      <c r="G63" s="21">
        <v>274.81</v>
      </c>
      <c r="H63" s="9">
        <f>B63+C63+D63+E63+F63+G63</f>
        <v>1674.81</v>
      </c>
    </row>
    <row r="64" spans="1:8">
      <c r="A64" s="6" t="s">
        <v>60</v>
      </c>
      <c r="B64" s="10">
        <f t="shared" ref="B64:G64" si="13">B60+B61+B62+B63</f>
        <v>3930.32</v>
      </c>
      <c r="C64" s="10">
        <f t="shared" si="13"/>
        <v>4584.74</v>
      </c>
      <c r="D64" s="10">
        <f t="shared" si="13"/>
        <v>4416.72</v>
      </c>
      <c r="E64" s="10">
        <f t="shared" si="13"/>
        <v>4424.73</v>
      </c>
      <c r="F64" s="10">
        <f t="shared" si="13"/>
        <v>4215.99</v>
      </c>
      <c r="G64" s="10">
        <f t="shared" si="13"/>
        <v>4374.81</v>
      </c>
      <c r="H64" s="11">
        <f>B64+C64+D64+E64+F64+G64</f>
        <v>25947.31</v>
      </c>
    </row>
    <row r="65" spans="1:9">
      <c r="A65" s="3" t="s">
        <v>61</v>
      </c>
      <c r="B65" s="8"/>
      <c r="C65" s="8"/>
      <c r="D65" s="8"/>
      <c r="E65" s="8"/>
      <c r="F65" s="8"/>
      <c r="G65" s="8"/>
      <c r="H65" s="8"/>
    </row>
    <row r="66" spans="1:9">
      <c r="A66" s="5" t="s">
        <v>62</v>
      </c>
      <c r="B66" s="9">
        <v>0</v>
      </c>
      <c r="C66" s="8"/>
      <c r="D66" s="8"/>
      <c r="E66" s="8"/>
      <c r="F66" s="8"/>
      <c r="G66" s="20"/>
      <c r="H66" s="9">
        <f>B66+C66+D66+E66+F66+G66</f>
        <v>0</v>
      </c>
    </row>
    <row r="67" spans="1:9">
      <c r="A67" s="5" t="s">
        <v>63</v>
      </c>
      <c r="B67" s="8"/>
      <c r="C67" s="8"/>
      <c r="D67" s="8"/>
      <c r="E67" s="9">
        <v>215.74</v>
      </c>
      <c r="F67" s="8"/>
      <c r="G67" s="34"/>
      <c r="H67" s="9">
        <f>B67+C67+D67+E67+F67+G67</f>
        <v>215.74</v>
      </c>
    </row>
    <row r="68" spans="1:9">
      <c r="A68" s="6" t="s">
        <v>64</v>
      </c>
      <c r="B68" s="10">
        <f>B65+B66+B67</f>
        <v>0</v>
      </c>
      <c r="C68" s="10"/>
      <c r="D68" s="10"/>
      <c r="E68" s="10">
        <f>E65+E66+E67</f>
        <v>215.74</v>
      </c>
      <c r="F68" s="10"/>
      <c r="G68" s="10"/>
      <c r="H68" s="11">
        <f>B68+C68+D68+E68+F68+G68</f>
        <v>215.74</v>
      </c>
    </row>
    <row r="69" spans="1:9">
      <c r="A69" s="3" t="s">
        <v>65</v>
      </c>
      <c r="B69" s="8"/>
      <c r="C69" s="8"/>
      <c r="D69" s="8"/>
      <c r="E69" s="8"/>
      <c r="F69" s="8"/>
      <c r="G69" s="8"/>
      <c r="H69" s="8"/>
    </row>
    <row r="70" spans="1:9">
      <c r="A70" s="5" t="s">
        <v>66</v>
      </c>
      <c r="B70" s="9">
        <v>62.83</v>
      </c>
      <c r="C70" s="9">
        <v>62.83</v>
      </c>
      <c r="D70" s="9">
        <v>62.83</v>
      </c>
      <c r="E70" s="9">
        <v>62.83</v>
      </c>
      <c r="F70" s="9">
        <v>62.83</v>
      </c>
      <c r="G70" s="21">
        <v>62.83</v>
      </c>
      <c r="H70" s="9">
        <f t="shared" ref="H70:H76" si="14">B70+C70+D70+E70+F70+G70</f>
        <v>376.98</v>
      </c>
    </row>
    <row r="71" spans="1:9">
      <c r="A71" s="5" t="s">
        <v>67</v>
      </c>
      <c r="B71" s="9">
        <v>144.97</v>
      </c>
      <c r="C71" s="9">
        <v>144.97</v>
      </c>
      <c r="D71" s="9">
        <v>144.97</v>
      </c>
      <c r="E71" s="9">
        <v>144.97</v>
      </c>
      <c r="F71" s="9">
        <v>144.97</v>
      </c>
      <c r="G71" s="21">
        <v>144.97</v>
      </c>
      <c r="H71" s="9">
        <f t="shared" si="14"/>
        <v>869.82</v>
      </c>
    </row>
    <row r="72" spans="1:9">
      <c r="A72" s="5" t="s">
        <v>68</v>
      </c>
      <c r="B72" s="9">
        <v>195.12</v>
      </c>
      <c r="C72" s="9">
        <v>195.12</v>
      </c>
      <c r="D72" s="9">
        <v>193.17</v>
      </c>
      <c r="E72" s="9">
        <v>193.17</v>
      </c>
      <c r="F72" s="9">
        <v>193.17</v>
      </c>
      <c r="G72" s="21">
        <v>193.17</v>
      </c>
      <c r="H72" s="9">
        <f t="shared" si="14"/>
        <v>1162.92</v>
      </c>
    </row>
    <row r="73" spans="1:9">
      <c r="A73" s="5" t="s">
        <v>69</v>
      </c>
      <c r="B73" s="9">
        <v>3407.74</v>
      </c>
      <c r="C73" s="9">
        <v>3407.74</v>
      </c>
      <c r="D73" s="9">
        <v>3407.74</v>
      </c>
      <c r="E73" s="9">
        <v>2657.16</v>
      </c>
      <c r="F73" s="9">
        <v>2657.16</v>
      </c>
      <c r="G73" s="33">
        <v>2657.16</v>
      </c>
      <c r="H73" s="9">
        <f t="shared" si="14"/>
        <v>18194.7</v>
      </c>
      <c r="I73" s="32" t="s">
        <v>194</v>
      </c>
    </row>
    <row r="74" spans="1:9">
      <c r="A74" s="5" t="s">
        <v>70</v>
      </c>
      <c r="B74" s="9">
        <v>58.53</v>
      </c>
      <c r="C74" s="9">
        <v>58.53</v>
      </c>
      <c r="D74" s="9">
        <v>58.53</v>
      </c>
      <c r="E74" s="9">
        <v>60.33</v>
      </c>
      <c r="F74" s="9">
        <v>60.33</v>
      </c>
      <c r="G74" s="21">
        <v>60.33</v>
      </c>
      <c r="H74" s="9">
        <f t="shared" si="14"/>
        <v>356.58</v>
      </c>
    </row>
    <row r="75" spans="1:9">
      <c r="A75" s="5" t="s">
        <v>71</v>
      </c>
      <c r="B75" s="9">
        <v>208.5</v>
      </c>
      <c r="C75" s="9">
        <v>208.5</v>
      </c>
      <c r="D75" s="9">
        <v>208.5</v>
      </c>
      <c r="E75" s="9">
        <v>208.5</v>
      </c>
      <c r="F75" s="9">
        <v>208.5</v>
      </c>
      <c r="G75" s="21">
        <v>208.5</v>
      </c>
      <c r="H75" s="9">
        <f t="shared" si="14"/>
        <v>1251</v>
      </c>
    </row>
    <row r="76" spans="1:9">
      <c r="A76" s="6" t="s">
        <v>72</v>
      </c>
      <c r="B76" s="10">
        <f t="shared" ref="B76:G76" si="15">B69+B70+B71+B72+B73+B74+B75</f>
        <v>4077.69</v>
      </c>
      <c r="C76" s="10">
        <f t="shared" si="15"/>
        <v>4077.69</v>
      </c>
      <c r="D76" s="10">
        <f t="shared" si="15"/>
        <v>4075.74</v>
      </c>
      <c r="E76" s="10">
        <f t="shared" si="15"/>
        <v>3326.96</v>
      </c>
      <c r="F76" s="10">
        <f t="shared" si="15"/>
        <v>3326.96</v>
      </c>
      <c r="G76" s="10">
        <f t="shared" si="15"/>
        <v>3326.96</v>
      </c>
      <c r="H76" s="11">
        <f t="shared" si="14"/>
        <v>22212</v>
      </c>
    </row>
    <row r="77" spans="1:9">
      <c r="A77" s="3" t="s">
        <v>73</v>
      </c>
      <c r="B77" s="8"/>
      <c r="C77" s="8"/>
      <c r="D77" s="8"/>
      <c r="E77" s="8"/>
      <c r="F77" s="8"/>
      <c r="G77" s="8"/>
      <c r="H77" s="8"/>
    </row>
    <row r="78" spans="1:9">
      <c r="A78" s="5" t="s">
        <v>74</v>
      </c>
      <c r="B78" s="8"/>
      <c r="C78" s="8"/>
      <c r="D78" s="9">
        <v>895</v>
      </c>
      <c r="E78" s="9">
        <v>189</v>
      </c>
      <c r="F78" s="9">
        <v>395</v>
      </c>
      <c r="G78" s="33">
        <v>395</v>
      </c>
      <c r="H78" s="9">
        <f>B78+C78+D78+E78+F78+G78</f>
        <v>1874</v>
      </c>
    </row>
    <row r="79" spans="1:9">
      <c r="A79" s="5" t="s">
        <v>75</v>
      </c>
      <c r="B79" s="9">
        <v>218.27</v>
      </c>
      <c r="C79" s="9">
        <v>368.59</v>
      </c>
      <c r="D79" s="9">
        <v>97.2</v>
      </c>
      <c r="E79" s="9">
        <v>248.37</v>
      </c>
      <c r="F79" s="9">
        <v>151.38</v>
      </c>
      <c r="G79" s="33">
        <v>194.56</v>
      </c>
      <c r="H79" s="9">
        <f>B79+C79+D79+E79+F79+G79</f>
        <v>1278.37</v>
      </c>
    </row>
    <row r="80" spans="1:9">
      <c r="A80" s="6" t="s">
        <v>76</v>
      </c>
      <c r="B80" s="10">
        <f t="shared" ref="B80:G80" si="16">B77+B78+B79</f>
        <v>218.27</v>
      </c>
      <c r="C80" s="10">
        <f t="shared" si="16"/>
        <v>368.59</v>
      </c>
      <c r="D80" s="10">
        <f t="shared" si="16"/>
        <v>992.2</v>
      </c>
      <c r="E80" s="10">
        <f t="shared" si="16"/>
        <v>437.37</v>
      </c>
      <c r="F80" s="10">
        <f t="shared" si="16"/>
        <v>546.38</v>
      </c>
      <c r="G80" s="10">
        <f t="shared" si="16"/>
        <v>589.56</v>
      </c>
      <c r="H80" s="11">
        <f>B80+C80+D80+E80+F80+G80</f>
        <v>3152.37</v>
      </c>
    </row>
    <row r="81" spans="1:9">
      <c r="A81" s="3" t="s">
        <v>77</v>
      </c>
      <c r="B81" s="8"/>
      <c r="C81" s="8"/>
      <c r="D81" s="8"/>
      <c r="E81" s="8"/>
      <c r="F81" s="8"/>
      <c r="G81" s="8"/>
      <c r="H81" s="8"/>
    </row>
    <row r="82" spans="1:9">
      <c r="A82" s="5" t="s">
        <v>78</v>
      </c>
      <c r="B82" s="9">
        <v>2550</v>
      </c>
      <c r="C82" s="9">
        <v>2550</v>
      </c>
      <c r="D82" s="9">
        <v>2550</v>
      </c>
      <c r="E82" s="9">
        <v>2550</v>
      </c>
      <c r="F82" s="9">
        <v>2550</v>
      </c>
      <c r="G82" s="21">
        <v>2550</v>
      </c>
      <c r="H82" s="9">
        <f>B82+C82+D82+E82+F82+G82</f>
        <v>15300</v>
      </c>
    </row>
    <row r="83" spans="1:9">
      <c r="A83" s="5" t="s">
        <v>79</v>
      </c>
      <c r="B83" s="9">
        <v>3071.67</v>
      </c>
      <c r="C83" s="9">
        <v>3071.67</v>
      </c>
      <c r="D83" s="9">
        <v>3071.67</v>
      </c>
      <c r="E83" s="9">
        <v>3071.67</v>
      </c>
      <c r="F83" s="9">
        <v>3071.67</v>
      </c>
      <c r="G83" s="21">
        <v>3071.67</v>
      </c>
      <c r="H83" s="9">
        <f>B83+C83+D83+E83+F83+G83</f>
        <v>18430.02</v>
      </c>
    </row>
    <row r="84" spans="1:9">
      <c r="A84" s="6" t="s">
        <v>80</v>
      </c>
      <c r="B84" s="10">
        <f t="shared" ref="B84:G84" si="17">B81+B82+B83</f>
        <v>5621.67</v>
      </c>
      <c r="C84" s="10">
        <f t="shared" si="17"/>
        <v>5621.67</v>
      </c>
      <c r="D84" s="10">
        <f t="shared" si="17"/>
        <v>5621.67</v>
      </c>
      <c r="E84" s="10">
        <f t="shared" si="17"/>
        <v>5621.67</v>
      </c>
      <c r="F84" s="10">
        <f t="shared" si="17"/>
        <v>5621.67</v>
      </c>
      <c r="G84" s="10">
        <f t="shared" si="17"/>
        <v>5621.67</v>
      </c>
      <c r="H84" s="11">
        <f>B84+C84+D84+E84+F84+G84</f>
        <v>33730.02</v>
      </c>
    </row>
    <row r="85" spans="1:9">
      <c r="A85" s="4" t="s">
        <v>81</v>
      </c>
      <c r="B85" s="10">
        <f t="shared" ref="B85:G85" si="18">B34+B41+B44+B49+B54+B59+B64+B68+B76+B80+B84</f>
        <v>36322.56</v>
      </c>
      <c r="C85" s="10">
        <f t="shared" si="18"/>
        <v>34035.51</v>
      </c>
      <c r="D85" s="10">
        <f t="shared" si="18"/>
        <v>41729.66</v>
      </c>
      <c r="E85" s="10">
        <f t="shared" si="18"/>
        <v>35262.25</v>
      </c>
      <c r="F85" s="10">
        <f t="shared" si="18"/>
        <v>37009.68</v>
      </c>
      <c r="G85" s="10">
        <f t="shared" si="18"/>
        <v>38924.92</v>
      </c>
      <c r="H85" s="11">
        <f>B85+C85+D85+E85+F85+G85</f>
        <v>223284.58</v>
      </c>
    </row>
    <row r="86" spans="1:9">
      <c r="A86" s="4" t="s">
        <v>82</v>
      </c>
      <c r="B86" s="10">
        <f t="shared" ref="B86:G86" si="19">B28-B85</f>
        <v>-20201.84</v>
      </c>
      <c r="C86" s="10">
        <f t="shared" si="19"/>
        <v>16704.45</v>
      </c>
      <c r="D86" s="10">
        <f t="shared" si="19"/>
        <v>9823.20000000001</v>
      </c>
      <c r="E86" s="10">
        <f t="shared" si="19"/>
        <v>-3661.3</v>
      </c>
      <c r="F86" s="10">
        <f t="shared" si="19"/>
        <v>11659.5</v>
      </c>
      <c r="G86" s="10">
        <f t="shared" si="19"/>
        <v>-14869.82</v>
      </c>
      <c r="H86" s="11">
        <f>B86+C86+D86+E86+F86+G86</f>
        <v>-545.809999999987</v>
      </c>
    </row>
    <row r="87" spans="1:9">
      <c r="A87" s="2" t="s">
        <v>83</v>
      </c>
      <c r="B87" s="8"/>
      <c r="C87" s="8"/>
      <c r="D87" s="8"/>
      <c r="E87" s="8"/>
      <c r="F87" s="8"/>
      <c r="G87" s="8"/>
    </row>
    <row r="88" spans="1:9">
      <c r="A88" s="3" t="s">
        <v>84</v>
      </c>
      <c r="B88" s="8"/>
      <c r="C88" s="8"/>
      <c r="D88" s="8"/>
      <c r="E88" s="8"/>
      <c r="F88" s="8"/>
      <c r="G88" s="8"/>
      <c r="H88" s="8"/>
    </row>
    <row r="89" spans="1:9">
      <c r="A89" s="5" t="s">
        <v>85</v>
      </c>
      <c r="B89" s="8"/>
      <c r="C89" s="8"/>
      <c r="D89" s="8"/>
      <c r="E89" s="9">
        <v>19715.8</v>
      </c>
      <c r="F89" s="8"/>
      <c r="G89" s="34"/>
      <c r="H89" s="9">
        <f>B89+C89+D89+E89+F89+G89</f>
        <v>19715.8</v>
      </c>
    </row>
    <row r="90" spans="1:9">
      <c r="A90" s="6" t="s">
        <v>86</v>
      </c>
      <c r="B90" s="10"/>
      <c r="C90" s="10"/>
      <c r="D90" s="10"/>
      <c r="E90" s="10">
        <f>E88+E89</f>
        <v>19715.8</v>
      </c>
      <c r="F90" s="10"/>
      <c r="G90" s="10"/>
      <c r="H90" s="11">
        <f>B90+C90+D90+E90+F90+G90</f>
        <v>19715.8</v>
      </c>
    </row>
    <row r="91" spans="1:9">
      <c r="A91" s="3" t="s">
        <v>87</v>
      </c>
      <c r="B91" s="9">
        <v>0</v>
      </c>
      <c r="C91" s="8"/>
      <c r="D91" s="8"/>
      <c r="E91" s="8"/>
      <c r="F91" s="8"/>
      <c r="G91" s="8"/>
      <c r="H91" s="9">
        <f>B91+C91+D91+E91+F91+G91</f>
        <v>0</v>
      </c>
    </row>
    <row r="92" spans="1:9">
      <c r="A92" s="4" t="s">
        <v>88</v>
      </c>
      <c r="B92" s="10">
        <f>B90+B91</f>
        <v>0</v>
      </c>
      <c r="C92" s="10"/>
      <c r="D92" s="10"/>
      <c r="E92" s="10">
        <f>E90+E91</f>
        <v>19715.8</v>
      </c>
      <c r="F92" s="10"/>
      <c r="G92" s="10"/>
      <c r="H92" s="11">
        <f>B92+C92+D92+E92+F92+G92</f>
        <v>19715.8</v>
      </c>
    </row>
    <row r="93" spans="1:9">
      <c r="A93" s="2" t="s">
        <v>89</v>
      </c>
      <c r="B93" s="8"/>
      <c r="C93" s="8"/>
      <c r="D93" s="8"/>
      <c r="E93" s="8"/>
      <c r="F93" s="8"/>
      <c r="G93" s="8"/>
    </row>
    <row r="94" spans="1:9">
      <c r="A94" s="3" t="s">
        <v>90</v>
      </c>
      <c r="B94" s="8"/>
      <c r="C94" s="8"/>
      <c r="D94" s="8"/>
      <c r="E94" s="8"/>
      <c r="F94" s="8"/>
      <c r="G94" s="8"/>
      <c r="H94" s="8"/>
    </row>
    <row r="95" spans="1:9">
      <c r="A95" s="5" t="s">
        <v>91</v>
      </c>
      <c r="B95" s="9">
        <v>238.72</v>
      </c>
      <c r="C95" s="9">
        <v>551.69</v>
      </c>
      <c r="D95" s="9">
        <v>551.69</v>
      </c>
      <c r="E95" s="9">
        <v>1378.82</v>
      </c>
      <c r="F95" s="9">
        <v>1378.82</v>
      </c>
      <c r="G95" s="33">
        <v>1128.77</v>
      </c>
      <c r="H95" s="9">
        <f t="shared" ref="H95:H102" si="20">B95+C95+D95+E95+F95+G95</f>
        <v>5228.51</v>
      </c>
      <c r="I95" s="18" t="s">
        <v>184</v>
      </c>
    </row>
    <row r="96" spans="1:9">
      <c r="A96" s="5" t="s">
        <v>92</v>
      </c>
      <c r="B96" s="9">
        <v>146.84</v>
      </c>
      <c r="C96" s="9">
        <v>10.83</v>
      </c>
      <c r="D96" s="8"/>
      <c r="E96" s="9">
        <v>2.62</v>
      </c>
      <c r="F96" s="9">
        <v>101.39</v>
      </c>
      <c r="G96" s="33">
        <v>99.46</v>
      </c>
      <c r="H96" s="9">
        <f t="shared" si="20"/>
        <v>361.14</v>
      </c>
      <c r="I96" s="18" t="s">
        <v>191</v>
      </c>
    </row>
    <row r="97" spans="1:8">
      <c r="A97" s="5" t="s">
        <v>93</v>
      </c>
      <c r="B97" s="8"/>
      <c r="C97" s="8"/>
      <c r="D97" s="8"/>
      <c r="E97" s="8"/>
      <c r="F97" s="9">
        <v>500</v>
      </c>
      <c r="G97" s="34"/>
      <c r="H97" s="9">
        <f t="shared" si="20"/>
        <v>500</v>
      </c>
    </row>
    <row r="98" spans="1:8">
      <c r="A98" s="5" t="s">
        <v>94</v>
      </c>
      <c r="B98" s="8"/>
      <c r="C98" s="8"/>
      <c r="D98" s="8"/>
      <c r="E98" s="8"/>
      <c r="F98" s="9">
        <v>18028.81</v>
      </c>
      <c r="G98" s="34"/>
      <c r="H98" s="9">
        <f t="shared" si="20"/>
        <v>18028.81</v>
      </c>
    </row>
    <row r="99" spans="1:8">
      <c r="A99" s="6" t="s">
        <v>95</v>
      </c>
      <c r="B99" s="10">
        <f t="shared" ref="B99:G99" si="21">B94+B95+B96+B97+B98</f>
        <v>385.56</v>
      </c>
      <c r="C99" s="10">
        <f t="shared" si="21"/>
        <v>562.52</v>
      </c>
      <c r="D99" s="10">
        <f t="shared" si="21"/>
        <v>551.69</v>
      </c>
      <c r="E99" s="10">
        <f t="shared" si="21"/>
        <v>1381.44</v>
      </c>
      <c r="F99" s="10">
        <f t="shared" si="21"/>
        <v>20009.02</v>
      </c>
      <c r="G99" s="10">
        <f t="shared" si="21"/>
        <v>1228.23</v>
      </c>
      <c r="H99" s="11">
        <f t="shared" si="20"/>
        <v>24118.46</v>
      </c>
    </row>
    <row r="100" spans="1:8">
      <c r="A100" s="4" t="s">
        <v>96</v>
      </c>
      <c r="B100" s="10">
        <f t="shared" ref="B100:G100" si="22">B99</f>
        <v>385.56</v>
      </c>
      <c r="C100" s="10">
        <f t="shared" si="22"/>
        <v>562.52</v>
      </c>
      <c r="D100" s="10">
        <f t="shared" si="22"/>
        <v>551.69</v>
      </c>
      <c r="E100" s="10">
        <f t="shared" si="22"/>
        <v>1381.44</v>
      </c>
      <c r="F100" s="10">
        <f t="shared" si="22"/>
        <v>20009.02</v>
      </c>
      <c r="G100" s="10">
        <f t="shared" si="22"/>
        <v>1228.23</v>
      </c>
      <c r="H100" s="11">
        <f t="shared" si="20"/>
        <v>24118.46</v>
      </c>
    </row>
    <row r="101" spans="1:8">
      <c r="A101" s="4" t="s">
        <v>97</v>
      </c>
      <c r="B101" s="10">
        <f t="shared" ref="B101:G101" si="23">B92-B100</f>
        <v>-385.56</v>
      </c>
      <c r="C101" s="10">
        <f t="shared" si="23"/>
        <v>-562.52</v>
      </c>
      <c r="D101" s="10">
        <f t="shared" si="23"/>
        <v>-551.69</v>
      </c>
      <c r="E101" s="10">
        <f t="shared" si="23"/>
        <v>18334.36</v>
      </c>
      <c r="F101" s="10">
        <f t="shared" si="23"/>
        <v>-20009.02</v>
      </c>
      <c r="G101" s="10">
        <f t="shared" si="23"/>
        <v>-1228.23</v>
      </c>
      <c r="H101" s="11">
        <f t="shared" si="20"/>
        <v>-4402.66</v>
      </c>
    </row>
    <row r="102" spans="1:8">
      <c r="A102" s="4" t="s">
        <v>98</v>
      </c>
      <c r="B102" s="10">
        <f t="shared" ref="B102:G102" si="24">B86+B101</f>
        <v>-20587.4</v>
      </c>
      <c r="C102" s="10">
        <f t="shared" si="24"/>
        <v>16141.93</v>
      </c>
      <c r="D102" s="10">
        <f t="shared" si="24"/>
        <v>9271.51000000001</v>
      </c>
      <c r="E102" s="10">
        <f t="shared" si="24"/>
        <v>14673.06</v>
      </c>
      <c r="F102" s="10">
        <f t="shared" si="24"/>
        <v>-8349.52</v>
      </c>
      <c r="G102" s="10">
        <f t="shared" si="24"/>
        <v>-16098.05</v>
      </c>
      <c r="H102" s="11">
        <f t="shared" si="20"/>
        <v>-4948.46999999999</v>
      </c>
    </row>
    <row r="106" spans="1:8">
      <c r="A106" s="31" t="s">
        <v>107</v>
      </c>
      <c r="B106" s="28"/>
      <c r="C106" s="28"/>
      <c r="D106" s="28"/>
      <c r="E106" s="28"/>
      <c r="F106" s="28"/>
      <c r="G106" s="28"/>
      <c r="H106" s="28"/>
    </row>
  </sheetData>
  <mergeCells count="4">
    <mergeCell ref="A1:H1"/>
    <mergeCell ref="A2:H2"/>
    <mergeCell ref="A3:H3"/>
    <mergeCell ref="A106:H106"/>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 MoM</vt:lpstr>
      <vt:lpstr>Profit &amp; Loss MoM</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Nikki Dela Cruz</cp:lastModifiedBy>
  <dcterms:created xsi:type="dcterms:W3CDTF">2022-03-24T08:55:57Z</dcterms:created>
  <dcterms:modified xsi:type="dcterms:W3CDTF">2026-04-20T23:42:07Z</dcterms:modified>
  <cp:category/>
</cp:coreProperties>
</file>