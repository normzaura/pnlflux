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18583\Desktop\"/>
    </mc:Choice>
  </mc:AlternateContent>
  <bookViews>
    <workbookView xWindow="-108" yWindow="-108" windowWidth="23256" windowHeight="12456"/>
  </bookViews>
  <sheets>
    <sheet name="Balance Sheet" sheetId="1" r:id="rId1"/>
    <sheet name="Profit and Los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01" i="2" l="true"/>
  <c r="C102" i="2" s="true"/>
  <c r="B101" i="2"/>
  <c r="H100" i="2"/>
  <c r="F100" i="2"/>
  <c r="E100" i="2"/>
  <c r="I100" i="2" s="true"/>
  <c r="H99" i="2"/>
  <c r="H101" i="2" s="true"/>
  <c r="H102" i="2" s="true"/>
  <c r="G99" i="2"/>
  <c r="G101" i="2" s="true"/>
  <c r="G102" i="2" s="true"/>
  <c r="F99" i="2"/>
  <c r="F101" i="2" s="true"/>
  <c r="F102" i="2" s="true"/>
  <c r="E99" i="2"/>
  <c r="E101" i="2" s="true"/>
  <c r="E102" i="2" s="true"/>
  <c r="D99" i="2"/>
  <c r="D101" i="2" s="true"/>
  <c r="D102" i="2" s="true"/>
  <c r="C99" i="2"/>
  <c r="B99" i="2"/>
  <c r="I98" i="2"/>
  <c r="G95" i="2"/>
  <c r="G96" i="2" s="true"/>
  <c r="G103" i="2" s="true"/>
  <c r="F95" i="2"/>
  <c r="F96" i="2" s="true"/>
  <c r="E95" i="2"/>
  <c r="E96" i="2" s="true"/>
  <c r="H94" i="2"/>
  <c r="H95" i="2" s="true"/>
  <c r="H96" i="2" s="true"/>
  <c r="D93" i="2"/>
  <c r="D95" i="2" s="true"/>
  <c r="D96" i="2" s="true"/>
  <c r="C93" i="2"/>
  <c r="C95" i="2" s="true"/>
  <c r="C96" i="2" s="true"/>
  <c r="C103" i="2" s="true"/>
  <c r="B93" i="2"/>
  <c r="B95" i="2" s="true"/>
  <c r="B96" i="2" s="true"/>
  <c r="I92" i="2"/>
  <c r="B88" i="2"/>
  <c r="I88" i="2" s="true"/>
  <c r="D86" i="2"/>
  <c r="C86" i="2"/>
  <c r="B86" i="2"/>
  <c r="H85" i="2"/>
  <c r="G85" i="2"/>
  <c r="F85" i="2"/>
  <c r="E85" i="2"/>
  <c r="B85" i="2"/>
  <c r="I85" i="2" s="true"/>
  <c r="H84" i="2"/>
  <c r="H87" i="2" s="true"/>
  <c r="G84" i="2"/>
  <c r="G87" i="2" s="true"/>
  <c r="F84" i="2"/>
  <c r="F87" i="2" s="true"/>
  <c r="E84" i="2"/>
  <c r="E87" i="2" s="true"/>
  <c r="D84" i="2"/>
  <c r="C84" i="2"/>
  <c r="C87" i="2" s="true"/>
  <c r="B84" i="2"/>
  <c r="I83" i="2"/>
  <c r="H81" i="2"/>
  <c r="G81" i="2"/>
  <c r="F81" i="2"/>
  <c r="F82" i="2" s="true"/>
  <c r="E81" i="2"/>
  <c r="E82" i="2" s="true"/>
  <c r="D81" i="2"/>
  <c r="C81" i="2"/>
  <c r="B81" i="2"/>
  <c r="B82" i="2" s="true"/>
  <c r="H80" i="2"/>
  <c r="H82" i="2" s="true"/>
  <c r="G80" i="2"/>
  <c r="G82" i="2" s="true"/>
  <c r="D80" i="2"/>
  <c r="C80" i="2"/>
  <c r="I80" i="2" s="true"/>
  <c r="I79" i="2"/>
  <c r="C78" i="2"/>
  <c r="B78" i="2"/>
  <c r="H77" i="2"/>
  <c r="G77" i="2"/>
  <c r="F77" i="2"/>
  <c r="E77" i="2"/>
  <c r="D77" i="2"/>
  <c r="C77" i="2"/>
  <c r="B77" i="2"/>
  <c r="I77" i="2" s="true"/>
  <c r="H76" i="2"/>
  <c r="G76" i="2"/>
  <c r="F76" i="2"/>
  <c r="E76" i="2"/>
  <c r="D76" i="2"/>
  <c r="C76" i="2"/>
  <c r="B76" i="2"/>
  <c r="I76" i="2" s="true"/>
  <c r="I75" i="2"/>
  <c r="H75" i="2"/>
  <c r="G75" i="2"/>
  <c r="F75" i="2"/>
  <c r="E75" i="2"/>
  <c r="D75" i="2"/>
  <c r="C75" i="2"/>
  <c r="B75" i="2"/>
  <c r="H74" i="2"/>
  <c r="G74" i="2"/>
  <c r="F74" i="2"/>
  <c r="E74" i="2"/>
  <c r="D74" i="2"/>
  <c r="C74" i="2"/>
  <c r="B74" i="2"/>
  <c r="I74" i="2" s="true"/>
  <c r="H73" i="2"/>
  <c r="I73" i="2" s="true"/>
  <c r="G73" i="2"/>
  <c r="F73" i="2"/>
  <c r="E73" i="2"/>
  <c r="D73" i="2"/>
  <c r="C73" i="2"/>
  <c r="B73" i="2"/>
  <c r="H72" i="2"/>
  <c r="G72" i="2"/>
  <c r="F72" i="2"/>
  <c r="E72" i="2"/>
  <c r="D72" i="2"/>
  <c r="C72" i="2"/>
  <c r="B72" i="2"/>
  <c r="I72" i="2" s="true"/>
  <c r="I71" i="2"/>
  <c r="G70" i="2"/>
  <c r="F70" i="2"/>
  <c r="C70" i="2"/>
  <c r="H69" i="2"/>
  <c r="H70" i="2" s="true"/>
  <c r="E69" i="2"/>
  <c r="E70" i="2" s="true"/>
  <c r="D69" i="2"/>
  <c r="D70" i="2" s="true"/>
  <c r="B69" i="2"/>
  <c r="B70" i="2" s="true"/>
  <c r="I68" i="2"/>
  <c r="H66" i="2"/>
  <c r="G66" i="2"/>
  <c r="F66" i="2"/>
  <c r="E66" i="2"/>
  <c r="D66" i="2"/>
  <c r="C66" i="2"/>
  <c r="B66" i="2"/>
  <c r="I66" i="2" s="true"/>
  <c r="H65" i="2"/>
  <c r="G65" i="2"/>
  <c r="F65" i="2"/>
  <c r="E65" i="2"/>
  <c r="D65" i="2"/>
  <c r="C65" i="2"/>
  <c r="B65" i="2"/>
  <c r="H64" i="2"/>
  <c r="G64" i="2"/>
  <c r="F64" i="2"/>
  <c r="E64" i="2"/>
  <c r="D64" i="2"/>
  <c r="C64" i="2"/>
  <c r="B64" i="2"/>
  <c r="I63" i="2"/>
  <c r="F62" i="2"/>
  <c r="D62" i="2"/>
  <c r="C62" i="2"/>
  <c r="B62" i="2"/>
  <c r="H61" i="2"/>
  <c r="G61" i="2"/>
  <c r="I61" i="2" s="true"/>
  <c r="G60" i="2"/>
  <c r="E60" i="2"/>
  <c r="H59" i="2"/>
  <c r="H62" i="2" s="true"/>
  <c r="G59" i="2"/>
  <c r="G62" i="2" s="true"/>
  <c r="E59" i="2"/>
  <c r="I58" i="2"/>
  <c r="H56" i="2"/>
  <c r="G56" i="2"/>
  <c r="E56" i="2"/>
  <c r="D56" i="2"/>
  <c r="C56" i="2"/>
  <c r="B56" i="2"/>
  <c r="D55" i="2"/>
  <c r="C55" i="2"/>
  <c r="H54" i="2"/>
  <c r="G54" i="2"/>
  <c r="D54" i="2"/>
  <c r="C54" i="2"/>
  <c r="B54" i="2"/>
  <c r="I54" i="2" s="true"/>
  <c r="H53" i="2"/>
  <c r="G53" i="2"/>
  <c r="F53" i="2"/>
  <c r="F57" i="2" s="true"/>
  <c r="E53" i="2"/>
  <c r="D53" i="2"/>
  <c r="C53" i="2"/>
  <c r="B53" i="2"/>
  <c r="I52" i="2"/>
  <c r="C50" i="2"/>
  <c r="I50" i="2" s="true"/>
  <c r="H49" i="2"/>
  <c r="G49" i="2"/>
  <c r="F49" i="2"/>
  <c r="E49" i="2"/>
  <c r="D49" i="2"/>
  <c r="C49" i="2"/>
  <c r="B49" i="2"/>
  <c r="H48" i="2"/>
  <c r="G48" i="2"/>
  <c r="F48" i="2"/>
  <c r="E48" i="2"/>
  <c r="E51" i="2" s="true"/>
  <c r="D48" i="2"/>
  <c r="D51" i="2" s="true"/>
  <c r="C48" i="2"/>
  <c r="B48" i="2"/>
  <c r="I48" i="2" s="true"/>
  <c r="H47" i="2"/>
  <c r="G47" i="2"/>
  <c r="F47" i="2"/>
  <c r="E47" i="2"/>
  <c r="D47" i="2"/>
  <c r="C47" i="2"/>
  <c r="B47" i="2"/>
  <c r="I46" i="2"/>
  <c r="C45" i="2"/>
  <c r="B45" i="2"/>
  <c r="H44" i="2"/>
  <c r="H45" i="2" s="true"/>
  <c r="G44" i="2"/>
  <c r="G45" i="2" s="true"/>
  <c r="F44" i="2"/>
  <c r="F45" i="2" s="true"/>
  <c r="E44" i="2"/>
  <c r="E45" i="2" s="true"/>
  <c r="D44" i="2"/>
  <c r="D45" i="2" s="true"/>
  <c r="C44" i="2"/>
  <c r="B44" i="2"/>
  <c r="I43" i="2"/>
  <c r="H41" i="2"/>
  <c r="G41" i="2"/>
  <c r="F41" i="2"/>
  <c r="E41" i="2"/>
  <c r="D41" i="2"/>
  <c r="C41" i="2"/>
  <c r="B41" i="2"/>
  <c r="I41" i="2" s="true"/>
  <c r="H40" i="2"/>
  <c r="G40" i="2"/>
  <c r="F40" i="2"/>
  <c r="E40" i="2"/>
  <c r="D40" i="2"/>
  <c r="C40" i="2"/>
  <c r="B39" i="2"/>
  <c r="I39" i="2" s="true"/>
  <c r="H38" i="2"/>
  <c r="G38" i="2"/>
  <c r="F38" i="2"/>
  <c r="E38" i="2"/>
  <c r="D38" i="2"/>
  <c r="C38" i="2"/>
  <c r="B38" i="2"/>
  <c r="I38" i="2" s="true"/>
  <c r="H37" i="2"/>
  <c r="G37" i="2"/>
  <c r="F37" i="2"/>
  <c r="E37" i="2"/>
  <c r="D37" i="2"/>
  <c r="C37" i="2"/>
  <c r="B37" i="2"/>
  <c r="B42" i="2" s="true"/>
  <c r="H36" i="2"/>
  <c r="G36" i="2"/>
  <c r="F36" i="2"/>
  <c r="E36" i="2"/>
  <c r="D36" i="2"/>
  <c r="C36" i="2"/>
  <c r="B36" i="2"/>
  <c r="I36" i="2" s="true"/>
  <c r="I35" i="2"/>
  <c r="C34" i="2"/>
  <c r="H33" i="2"/>
  <c r="G33" i="2"/>
  <c r="F33" i="2"/>
  <c r="E33" i="2"/>
  <c r="D33" i="2"/>
  <c r="C33" i="2"/>
  <c r="H32" i="2"/>
  <c r="G32" i="2"/>
  <c r="F32" i="2"/>
  <c r="E32" i="2"/>
  <c r="D32" i="2"/>
  <c r="C32" i="2"/>
  <c r="B32" i="2"/>
  <c r="I32" i="2" s="true"/>
  <c r="H31" i="2"/>
  <c r="H34" i="2" s="true"/>
  <c r="G31" i="2"/>
  <c r="G34" i="2" s="true"/>
  <c r="F31" i="2"/>
  <c r="F34" i="2" s="true"/>
  <c r="E31" i="2"/>
  <c r="E34" i="2" s="true"/>
  <c r="D31" i="2"/>
  <c r="D34" i="2" s="true"/>
  <c r="C31" i="2"/>
  <c r="B31" i="2"/>
  <c r="I30" i="2"/>
  <c r="H25" i="2"/>
  <c r="G25" i="2"/>
  <c r="F25" i="2"/>
  <c r="E25" i="2"/>
  <c r="D25" i="2"/>
  <c r="C25" i="2"/>
  <c r="B25" i="2"/>
  <c r="I25" i="2" s="true"/>
  <c r="H24" i="2"/>
  <c r="G24" i="2"/>
  <c r="F24" i="2"/>
  <c r="E24" i="2"/>
  <c r="D24" i="2"/>
  <c r="C24" i="2"/>
  <c r="B24" i="2"/>
  <c r="H23" i="2"/>
  <c r="G23" i="2"/>
  <c r="F23" i="2"/>
  <c r="E23" i="2"/>
  <c r="D23" i="2"/>
  <c r="C23" i="2"/>
  <c r="C26" i="2" s="true"/>
  <c r="B23" i="2"/>
  <c r="I23" i="2" s="true"/>
  <c r="H22" i="2"/>
  <c r="G22" i="2"/>
  <c r="F22" i="2"/>
  <c r="E22" i="2"/>
  <c r="E26" i="2" s="true"/>
  <c r="D22" i="2"/>
  <c r="D26" i="2" s="true"/>
  <c r="C22" i="2"/>
  <c r="B22" i="2"/>
  <c r="I21" i="2"/>
  <c r="H19" i="2"/>
  <c r="G19" i="2"/>
  <c r="F19" i="2"/>
  <c r="E19" i="2"/>
  <c r="D19" i="2"/>
  <c r="C19" i="2"/>
  <c r="B19" i="2"/>
  <c r="H18" i="2"/>
  <c r="G18" i="2"/>
  <c r="F18" i="2"/>
  <c r="E18" i="2"/>
  <c r="D18" i="2"/>
  <c r="C18" i="2"/>
  <c r="B18" i="2"/>
  <c r="H17" i="2"/>
  <c r="G17" i="2"/>
  <c r="F17" i="2"/>
  <c r="D17" i="2"/>
  <c r="C17" i="2"/>
  <c r="B17" i="2"/>
  <c r="H16" i="2"/>
  <c r="C16" i="2"/>
  <c r="I16" i="2" s="true"/>
  <c r="I15" i="2"/>
  <c r="H12" i="2"/>
  <c r="G12" i="2"/>
  <c r="E12" i="2"/>
  <c r="D12" i="2"/>
  <c r="I12" i="2" s="true"/>
  <c r="H11" i="2"/>
  <c r="D11" i="2"/>
  <c r="D10" i="2"/>
  <c r="I10" i="2" s="true"/>
  <c r="H9" i="2"/>
  <c r="G9" i="2"/>
  <c r="F9" i="2"/>
  <c r="E9" i="2"/>
  <c r="D9" i="2"/>
  <c r="C9" i="2"/>
  <c r="B9" i="2"/>
  <c r="H8" i="2"/>
  <c r="G8" i="2"/>
  <c r="F8" i="2"/>
  <c r="E8" i="2"/>
  <c r="D8" i="2"/>
  <c r="C8" i="2"/>
  <c r="I8" i="2" s="true"/>
  <c r="B8" i="2"/>
  <c r="H64" i="1"/>
  <c r="G64" i="1"/>
  <c r="F64" i="1"/>
  <c r="E64" i="1"/>
  <c r="D64" i="1"/>
  <c r="C64" i="1"/>
  <c r="B64" i="1"/>
  <c r="H63" i="1"/>
  <c r="B63" i="1"/>
  <c r="C63" i="1" s="true"/>
  <c r="D63" i="1" s="true"/>
  <c r="E63" i="1" s="true"/>
  <c r="F63" i="1" s="true"/>
  <c r="G63" i="1" s="true"/>
  <c r="H62" i="1"/>
  <c r="G62" i="1"/>
  <c r="F62" i="1"/>
  <c r="E62" i="1"/>
  <c r="D62" i="1"/>
  <c r="C62" i="1"/>
  <c r="B62" i="1"/>
  <c r="F61" i="1"/>
  <c r="G61" i="1" s="true"/>
  <c r="H61" i="1" s="true"/>
  <c r="B61" i="1"/>
  <c r="C61" i="1" s="true"/>
  <c r="D61" i="1" s="true"/>
  <c r="E61" i="1" s="true"/>
  <c r="B60" i="1"/>
  <c r="B57" i="1"/>
  <c r="H56" i="1"/>
  <c r="H57" i="1" s="true"/>
  <c r="C56" i="1"/>
  <c r="D56" i="1" s="true"/>
  <c r="H52" i="1"/>
  <c r="G52" i="1"/>
  <c r="F52" i="1"/>
  <c r="E52" i="1"/>
  <c r="D52" i="1"/>
  <c r="C52" i="1"/>
  <c r="H51" i="1"/>
  <c r="C51" i="1"/>
  <c r="D51" i="1" s="true"/>
  <c r="E51" i="1" s="true"/>
  <c r="F51" i="1" s="true"/>
  <c r="G51" i="1" s="true"/>
  <c r="H50" i="1"/>
  <c r="G50" i="1"/>
  <c r="F50" i="1"/>
  <c r="E50" i="1"/>
  <c r="D50" i="1"/>
  <c r="C50" i="1"/>
  <c r="B50" i="1"/>
  <c r="H49" i="1"/>
  <c r="G49" i="1"/>
  <c r="F49" i="1"/>
  <c r="E49" i="1"/>
  <c r="D49" i="1"/>
  <c r="C49" i="1"/>
  <c r="B49" i="1"/>
  <c r="H48" i="1"/>
  <c r="G48" i="1"/>
  <c r="C48" i="1"/>
  <c r="D48" i="1" s="true"/>
  <c r="E48" i="1" s="true"/>
  <c r="B48" i="1"/>
  <c r="H47" i="1"/>
  <c r="G47" i="1"/>
  <c r="F47" i="1"/>
  <c r="E47" i="1"/>
  <c r="D47" i="1"/>
  <c r="C47" i="1"/>
  <c r="B47" i="1"/>
  <c r="H42" i="1"/>
  <c r="G42" i="1"/>
  <c r="F42" i="1"/>
  <c r="E42" i="1"/>
  <c r="D42" i="1"/>
  <c r="C42" i="1"/>
  <c r="B42" i="1"/>
  <c r="C43" i="1"/>
  <c r="D43" i="1" s="true"/>
  <c r="E43" i="1" s="true"/>
  <c r="F43" i="1" s="true"/>
  <c r="G43" i="1" s="true"/>
  <c r="H43" i="1" s="true"/>
  <c r="H41" i="1"/>
  <c r="G41" i="1"/>
  <c r="F41" i="1"/>
  <c r="D41" i="1"/>
  <c r="E41" i="1" s="true"/>
  <c r="C41" i="1"/>
  <c r="B41" i="1"/>
  <c r="H40" i="1"/>
  <c r="G40" i="1"/>
  <c r="F40" i="1"/>
  <c r="E40" i="1"/>
  <c r="D40" i="1"/>
  <c r="C40" i="1"/>
  <c r="B40" i="1"/>
  <c r="H39" i="1"/>
  <c r="G39" i="1"/>
  <c r="D39" i="1"/>
  <c r="E39" i="1" s="true"/>
  <c r="F39" i="1" s="true"/>
  <c r="C39" i="1"/>
  <c r="B39" i="1"/>
  <c r="E38" i="1"/>
  <c r="F38" i="1" s="true"/>
  <c r="G38" i="1" s="true"/>
  <c r="H38" i="1" s="true"/>
  <c r="D38" i="1"/>
  <c r="B38" i="1"/>
  <c r="C38" i="1" s="true"/>
  <c r="E37" i="1"/>
  <c r="F37" i="1" s="true"/>
  <c r="G37" i="1" s="true"/>
  <c r="H37" i="1" s="true"/>
  <c r="D37" i="1"/>
  <c r="B37" i="1"/>
  <c r="C37" i="1" s="true"/>
  <c r="C36" i="1"/>
  <c r="H29" i="1"/>
  <c r="G29" i="1"/>
  <c r="F29" i="1"/>
  <c r="E29" i="1"/>
  <c r="D29" i="1"/>
  <c r="C29" i="1"/>
  <c r="B29" i="1"/>
  <c r="H27" i="1"/>
  <c r="C27" i="1"/>
  <c r="D27" i="1" s="true"/>
  <c r="E27" i="1" s="true"/>
  <c r="F27" i="1" s="true"/>
  <c r="G27" i="1" s="true"/>
  <c r="G26" i="1"/>
  <c r="H26" i="1" s="true"/>
  <c r="F26" i="1"/>
  <c r="C26" i="1"/>
  <c r="D26" i="1" s="true"/>
  <c r="E26" i="1" s="true"/>
  <c r="F25" i="1"/>
  <c r="G25" i="1" s="true"/>
  <c r="H25" i="1" s="true"/>
  <c r="B25" i="1"/>
  <c r="B28" i="1" s="true"/>
  <c r="C24" i="1"/>
  <c r="D24" i="1" s="true"/>
  <c r="E24" i="1" s="true"/>
  <c r="H20" i="1"/>
  <c r="G20" i="1"/>
  <c r="F20" i="1"/>
  <c r="E20" i="1"/>
  <c r="D20" i="1"/>
  <c r="C20" i="1"/>
  <c r="B20" i="1"/>
  <c r="H19" i="1"/>
  <c r="G19" i="1"/>
  <c r="F19" i="1"/>
  <c r="E19" i="1"/>
  <c r="D19" i="1"/>
  <c r="C19" i="1"/>
  <c r="B19" i="1"/>
  <c r="H18" i="1"/>
  <c r="G18" i="1"/>
  <c r="F18" i="1"/>
  <c r="E18" i="1"/>
  <c r="D18" i="1"/>
  <c r="C18" i="1"/>
  <c r="B18" i="1"/>
  <c r="B21" i="1" s="true"/>
  <c r="H17" i="1"/>
  <c r="G17" i="1"/>
  <c r="F17" i="1"/>
  <c r="E17" i="1"/>
  <c r="D17" i="1"/>
  <c r="C17" i="1"/>
  <c r="B17" i="1"/>
  <c r="D15" i="1"/>
  <c r="H14" i="1"/>
  <c r="H15" i="1" s="true"/>
  <c r="G14" i="1"/>
  <c r="G15" i="1" s="true"/>
  <c r="F14" i="1"/>
  <c r="F15" i="1" s="true"/>
  <c r="E14" i="1"/>
  <c r="E15" i="1" s="true"/>
  <c r="D14" i="1"/>
  <c r="C14" i="1"/>
  <c r="C15" i="1" s="true"/>
  <c r="B14" i="1"/>
  <c r="B15" i="1" s="true"/>
  <c r="H10" i="1"/>
  <c r="G10" i="1"/>
  <c r="F10" i="1"/>
  <c r="E10" i="1"/>
  <c r="D10" i="1"/>
  <c r="C10" i="1"/>
  <c r="B10" i="1"/>
  <c r="B11" i="1" s="true"/>
  <c r="B12" i="1" s="true"/>
  <c r="C9" i="1"/>
  <c r="D9" i="1" s="true"/>
  <c r="E9" i="1" s="true"/>
  <c r="D103" i="2" l="true"/>
  <c r="I65" i="2"/>
  <c r="F26" i="2"/>
  <c r="D42" i="2"/>
  <c r="G26" i="2"/>
  <c r="E42" i="2"/>
  <c r="H26" i="2"/>
  <c r="F42" i="2"/>
  <c r="F89" i="2" s="true"/>
  <c r="C51" i="2"/>
  <c r="I93" i="2"/>
  <c r="G42" i="2"/>
  <c r="C67" i="2"/>
  <c r="D78" i="2"/>
  <c r="H103" i="2"/>
  <c r="H42" i="2"/>
  <c r="D67" i="2"/>
  <c r="E78" i="2"/>
  <c r="F51" i="2"/>
  <c r="E67" i="2"/>
  <c r="F78" i="2"/>
  <c r="C13" i="2"/>
  <c r="I19" i="2"/>
  <c r="G57" i="2"/>
  <c r="F67" i="2"/>
  <c r="G78" i="2"/>
  <c r="D13" i="2"/>
  <c r="H57" i="2"/>
  <c r="G67" i="2"/>
  <c r="H67" i="2"/>
  <c r="H78" i="2"/>
  <c r="D82" i="2"/>
  <c r="E103" i="2"/>
  <c r="E13" i="2"/>
  <c r="F103" i="2"/>
  <c r="F13" i="2"/>
  <c r="E62" i="2"/>
  <c r="I62" i="2" s="true"/>
  <c r="I70" i="2"/>
  <c r="G13" i="2"/>
  <c r="I33" i="2"/>
  <c r="H13" i="2"/>
  <c r="G20" i="2"/>
  <c r="G27" i="2" s="true"/>
  <c r="I24" i="2"/>
  <c r="H20" i="2"/>
  <c r="H27" i="2" s="true"/>
  <c r="B26" i="2"/>
  <c r="I26" i="2" s="true"/>
  <c r="I86" i="2"/>
  <c r="I99" i="2"/>
  <c r="I11" i="2"/>
  <c r="I18" i="2"/>
  <c r="I22" i="2"/>
  <c r="I40" i="2"/>
  <c r="I49" i="2"/>
  <c r="I55" i="2"/>
  <c r="C82" i="2"/>
  <c r="I81" i="2"/>
  <c r="I94" i="2"/>
  <c r="H51" i="2"/>
  <c r="C20" i="2"/>
  <c r="C27" i="2" s="true"/>
  <c r="C28" i="2" s="true"/>
  <c r="I17" i="2"/>
  <c r="D20" i="2"/>
  <c r="D27" i="2" s="true"/>
  <c r="D28" i="2" s="true"/>
  <c r="I44" i="2"/>
  <c r="I56" i="2"/>
  <c r="C57" i="2"/>
  <c r="I78" i="2"/>
  <c r="I84" i="2"/>
  <c r="B87" i="2"/>
  <c r="E57" i="2"/>
  <c r="B67" i="2"/>
  <c r="I64" i="2"/>
  <c r="D87" i="2"/>
  <c r="B34" i="2"/>
  <c r="D57" i="2"/>
  <c r="I53" i="2"/>
  <c r="I96" i="2"/>
  <c r="E20" i="2"/>
  <c r="E27" i="2" s="true"/>
  <c r="E28" i="2" s="true"/>
  <c r="C42" i="2"/>
  <c r="B13" i="2"/>
  <c r="I9" i="2"/>
  <c r="G51" i="2"/>
  <c r="G89" i="2" s="true"/>
  <c r="I47" i="2"/>
  <c r="B102" i="2"/>
  <c r="I102" i="2" s="true"/>
  <c r="I101" i="2"/>
  <c r="F20" i="2"/>
  <c r="F27" i="2" s="true"/>
  <c r="F28" i="2" s="true"/>
  <c r="I45" i="2"/>
  <c r="I37" i="2"/>
  <c r="I59" i="2"/>
  <c r="I69" i="2"/>
  <c r="I95" i="2"/>
  <c r="B51" i="2"/>
  <c r="I60" i="2"/>
  <c r="B20" i="2"/>
  <c r="B57" i="2"/>
  <c r="I31" i="2"/>
  <c r="C21" i="1"/>
  <c r="C44" i="1"/>
  <c r="C45" i="1" s="true"/>
  <c r="B53" i="1"/>
  <c r="B30" i="1"/>
  <c r="C53" i="1"/>
  <c r="D21" i="1"/>
  <c r="E21" i="1"/>
  <c r="D57" i="1"/>
  <c r="E56" i="1"/>
  <c r="C54" i="1"/>
  <c r="F21" i="1"/>
  <c r="B22" i="1"/>
  <c r="B31" i="1" s="true"/>
  <c r="G21" i="1"/>
  <c r="C11" i="1"/>
  <c r="C12" i="1" s="true"/>
  <c r="H21" i="1"/>
  <c r="G53" i="1"/>
  <c r="C57" i="1"/>
  <c r="H53" i="1"/>
  <c r="B65" i="1"/>
  <c r="F9" i="1"/>
  <c r="E11" i="1"/>
  <c r="E12" i="1" s="true"/>
  <c r="F48" i="1"/>
  <c r="F53" i="1" s="true"/>
  <c r="E53" i="1"/>
  <c r="D53" i="1"/>
  <c r="C60" i="1"/>
  <c r="D36" i="1"/>
  <c r="C25" i="1"/>
  <c r="D25" i="1" s="true"/>
  <c r="E25" i="1" s="true"/>
  <c r="E28" i="1" s="true"/>
  <c r="E30" i="1" s="true"/>
  <c r="F24" i="1"/>
  <c r="B44" i="1"/>
  <c r="B45" i="1" s="true"/>
  <c r="B54" i="1" s="true"/>
  <c r="B58" i="1" s="true"/>
  <c r="B66" i="1" s="true"/>
  <c r="D11" i="1"/>
  <c r="D12" i="1" s="true"/>
  <c r="D22" i="1" s="true"/>
  <c r="D89" i="2" l="true"/>
  <c r="G28" i="2"/>
  <c r="G90" i="2"/>
  <c r="G104" i="2" s="true"/>
  <c r="I42" i="2"/>
  <c r="D90" i="2"/>
  <c r="D104" i="2" s="true"/>
  <c r="H89" i="2"/>
  <c r="H28" i="2"/>
  <c r="I82" i="2"/>
  <c r="F90" i="2"/>
  <c r="F104" i="2" s="true"/>
  <c r="I67" i="2"/>
  <c r="E89" i="2"/>
  <c r="E90" i="2" s="true"/>
  <c r="E104" i="2" s="true"/>
  <c r="C90" i="2"/>
  <c r="C104" i="2" s="true"/>
  <c r="I20" i="2"/>
  <c r="B27" i="2"/>
  <c r="I27" i="2" s="true"/>
  <c r="B103" i="2"/>
  <c r="I103" i="2" s="true"/>
  <c r="B89" i="2"/>
  <c r="I34" i="2"/>
  <c r="I87" i="2"/>
  <c r="C89" i="2"/>
  <c r="I57" i="2"/>
  <c r="I13" i="2"/>
  <c r="I51" i="2"/>
  <c r="C22" i="1"/>
  <c r="E22" i="1"/>
  <c r="C58" i="1"/>
  <c r="E57" i="1"/>
  <c r="F56" i="1"/>
  <c r="F28" i="1"/>
  <c r="F30" i="1" s="true"/>
  <c r="G24" i="1"/>
  <c r="D44" i="1"/>
  <c r="D45" i="1" s="true"/>
  <c r="D54" i="1" s="true"/>
  <c r="D58" i="1" s="true"/>
  <c r="E36" i="1"/>
  <c r="D28" i="1"/>
  <c r="D30" i="1" s="true"/>
  <c r="C28" i="1"/>
  <c r="C30" i="1" s="true"/>
  <c r="C31" i="1" s="true"/>
  <c r="E31" i="1"/>
  <c r="D60" i="1"/>
  <c r="C65" i="1"/>
  <c r="C66" i="1" s="true"/>
  <c r="D31" i="1"/>
  <c r="G9" i="1"/>
  <c r="F11" i="1"/>
  <c r="F12" i="1" s="true"/>
  <c r="F22" i="1" s="true"/>
  <c r="B28" i="2" l="true"/>
  <c r="H90" i="2"/>
  <c r="H104" i="2" s="true"/>
  <c r="I89" i="2"/>
  <c r="I28" i="2"/>
  <c r="B90" i="2"/>
  <c r="F57" i="1"/>
  <c r="G56" i="1"/>
  <c r="G57" i="1" s="true"/>
  <c r="F31" i="1"/>
  <c r="E60" i="1"/>
  <c r="D65" i="1"/>
  <c r="E44" i="1"/>
  <c r="E45" i="1" s="true"/>
  <c r="E54" i="1" s="true"/>
  <c r="E58" i="1" s="true"/>
  <c r="F36" i="1"/>
  <c r="D66" i="1"/>
  <c r="G11" i="1"/>
  <c r="G12" i="1" s="true"/>
  <c r="G22" i="1" s="true"/>
  <c r="H9" i="1"/>
  <c r="H11" i="1" s="true"/>
  <c r="H12" i="1" s="true"/>
  <c r="H22" i="1" s="true"/>
  <c r="G28" i="1"/>
  <c r="G30" i="1" s="true"/>
  <c r="H24" i="1"/>
  <c r="H28" i="1" s="true"/>
  <c r="H30" i="1" s="true"/>
  <c r="I90" i="2" l="true"/>
  <c r="B104" i="2"/>
  <c r="I104" i="2" s="true"/>
  <c r="E65" i="1"/>
  <c r="E66" i="1" s="true"/>
  <c r="F60" i="1"/>
  <c r="H31" i="1"/>
  <c r="G31" i="1"/>
  <c r="F44" i="1"/>
  <c r="F45" i="1" s="true"/>
  <c r="F54" i="1" s="true"/>
  <c r="F58" i="1" s="true"/>
  <c r="G36" i="1"/>
  <c r="G44" i="1" l="true"/>
  <c r="G45" i="1" s="true"/>
  <c r="G54" i="1" s="true"/>
  <c r="G58" i="1" s="true"/>
  <c r="H36" i="1"/>
  <c r="H44" i="1" s="true"/>
  <c r="H45" i="1" s="true"/>
  <c r="H54" i="1" s="true"/>
  <c r="H58" i="1" s="true"/>
  <c r="F65" i="1"/>
  <c r="F66" i="1" s="true"/>
  <c r="G60" i="1"/>
  <c r="G65" i="1" l="true"/>
  <c r="G66" i="1" s="true"/>
  <c r="H60" i="1"/>
  <c r="H65" i="1" s="true"/>
  <c r="H66" i="1"/>
</calcChain>
</file>

<file path=xl/sharedStrings.xml><?xml version="1.0" encoding="utf-8"?>
<sst xmlns="http://schemas.openxmlformats.org/spreadsheetml/2006/main" count="173" uniqueCount="173">
  <si>
    <t>Jul 2025</t>
  </si>
  <si>
    <t>Aug 2025</t>
  </si>
  <si>
    <t>Sep 2025</t>
  </si>
  <si>
    <t>Oct 2025</t>
  </si>
  <si>
    <t>Nov 2025</t>
  </si>
  <si>
    <t>Dec 2025</t>
  </si>
  <si>
    <t>Jan 2026</t>
  </si>
  <si>
    <t>ASSETS</t>
  </si>
  <si>
    <t xml:space="preserve">   Current Assets</t>
  </si>
  <si>
    <t xml:space="preserve">      Bank Accounts</t>
  </si>
  <si>
    <t xml:space="preserve">         1000 Cash</t>
  </si>
  <si>
    <t xml:space="preserve">            1001 Chase Checking (8833)</t>
  </si>
  <si>
    <t xml:space="preserve">         Total 1000 Cash</t>
  </si>
  <si>
    <t xml:space="preserve">      Total Bank Accounts</t>
  </si>
  <si>
    <t xml:space="preserve">      Accounts Receivable</t>
  </si>
  <si>
    <t xml:space="preserve">         1100 Accounts Receivable (A/R)</t>
  </si>
  <si>
    <t xml:space="preserve">      Total Accounts Receivable</t>
  </si>
  <si>
    <t xml:space="preserve">      Other Current Assets</t>
  </si>
  <si>
    <t xml:space="preserve">         1210 Prepaid Expenses</t>
  </si>
  <si>
    <t xml:space="preserve">         1220 Prepaid Insurance</t>
  </si>
  <si>
    <t xml:space="preserve">         1230 Prepaid Project Expense</t>
  </si>
  <si>
    <t xml:space="preserve">         1240 Accrued Revenue</t>
  </si>
  <si>
    <t xml:space="preserve">      Total Other Current Assets</t>
  </si>
  <si>
    <t xml:space="preserve">   Total Current Assets</t>
  </si>
  <si>
    <t xml:space="preserve">   Fixed Assets</t>
  </si>
  <si>
    <t xml:space="preserve">      1300 Fixed Assets &amp; Leasehold Improvements</t>
  </si>
  <si>
    <t xml:space="preserve">         1301 Camera Equipment</t>
  </si>
  <si>
    <t xml:space="preserve">         1302 2013 Jeep Wrangler</t>
  </si>
  <si>
    <t xml:space="preserve">         1303 2026 VW Atlas</t>
  </si>
  <si>
    <t xml:space="preserve">      Total 1300 Fixed Assets &amp; Leasehold Improvements</t>
  </si>
  <si>
    <t xml:space="preserve">      1499 Accumulated Depreciation</t>
  </si>
  <si>
    <t xml:space="preserve">   Total Fixed Assets</t>
  </si>
  <si>
    <t>TOTAL ASSETS</t>
  </si>
  <si>
    <t>LIABILITIES AND EQUITY</t>
  </si>
  <si>
    <t xml:space="preserve">   Liabilities</t>
  </si>
  <si>
    <t xml:space="preserve">      Current Liabilities</t>
  </si>
  <si>
    <t xml:space="preserve">         Credit Cards</t>
  </si>
  <si>
    <t xml:space="preserve">            2100 Credit Cards</t>
  </si>
  <si>
    <t xml:space="preserve">               2102 Amex Gold CC (1005)</t>
  </si>
  <si>
    <t xml:space="preserve">               2103 Amex Gold CC (2000)</t>
  </si>
  <si>
    <t xml:space="preserve">               2104 Amex Gold CC (1003)</t>
  </si>
  <si>
    <t xml:space="preserve">               2106 Amex Platinum CC (1008)</t>
  </si>
  <si>
    <t xml:space="preserve">               2107 B&amp;H Photo CC (4007)</t>
  </si>
  <si>
    <t xml:space="preserve">               2108 CapOne Venture X CC (7418)</t>
  </si>
  <si>
    <t xml:space="preserve">            Total 2100 Credit Cards</t>
  </si>
  <si>
    <t xml:space="preserve">         Total Credit Cards</t>
  </si>
  <si>
    <t xml:space="preserve">         Other Current Liabilities</t>
  </si>
  <si>
    <t xml:space="preserve">            2220 Accrued Payroll</t>
  </si>
  <si>
    <t xml:space="preserve">            2230 Accrued Expenses</t>
  </si>
  <si>
    <t xml:space="preserve">            2270 Texas State Comptroller Payable</t>
  </si>
  <si>
    <t xml:space="preserve">            2280 Unearned Revenue</t>
  </si>
  <si>
    <t xml:space="preserve">            2301 ST - VW Atlas Loan</t>
  </si>
  <si>
    <t xml:space="preserve">            2350 401K Liabilities</t>
  </si>
  <si>
    <t xml:space="preserve">         Total Other Current Liabilities</t>
  </si>
  <si>
    <t xml:space="preserve">      Total Current Liabilities</t>
  </si>
  <si>
    <t xml:space="preserve">      Long-Term Liabilities</t>
  </si>
  <si>
    <t xml:space="preserve">         2401 LT - VW Atlas Loan</t>
  </si>
  <si>
    <t xml:space="preserve">      Total Long-Term Liabilities</t>
  </si>
  <si>
    <t xml:space="preserve">   Total Liabilities</t>
  </si>
  <si>
    <t xml:space="preserve">   Equity</t>
  </si>
  <si>
    <t xml:space="preserve">      3100 Capital Stock</t>
  </si>
  <si>
    <t xml:space="preserve">      3200 Shareholder Contribution</t>
  </si>
  <si>
    <t xml:space="preserve">      3300 Shareholder Distribution</t>
  </si>
  <si>
    <t xml:space="preserve">      3900 Retained Earnings</t>
  </si>
  <si>
    <t xml:space="preserve">      Net Income</t>
  </si>
  <si>
    <t xml:space="preserve">   Total Equity</t>
  </si>
  <si>
    <t>TOTAL LIABILITIES AND EQUITY</t>
  </si>
  <si>
    <t>Griffith Media</t>
  </si>
  <si>
    <t>Balance Sheet</t>
  </si>
  <si>
    <t>As of January 31, 2026</t>
  </si>
  <si>
    <t>Net Income</t>
  </si>
  <si>
    <t>Net Other Income</t>
  </si>
  <si>
    <t>Total Other Expenses</t>
  </si>
  <si>
    <t xml:space="preserve">   Total 8000 Other Expenses</t>
  </si>
  <si>
    <t xml:space="preserve">      8003 Interest Expense</t>
  </si>
  <si>
    <t xml:space="preserve">      8001 Depreciation</t>
  </si>
  <si>
    <t xml:space="preserve">   8000 Other Expenses</t>
  </si>
  <si>
    <t>Other Expenses</t>
  </si>
  <si>
    <t>Total Other Income</t>
  </si>
  <si>
    <t xml:space="preserve">   Total 7000 Other Income</t>
  </si>
  <si>
    <t xml:space="preserve">      7003 Misc Income</t>
  </si>
  <si>
    <t xml:space="preserve">      7001 Cash Reward</t>
  </si>
  <si>
    <t xml:space="preserve">   7000 Other Income</t>
  </si>
  <si>
    <t>Other Income</t>
  </si>
  <si>
    <t>Net Operating Income</t>
  </si>
  <si>
    <t>Total Expenses</t>
  </si>
  <si>
    <t xml:space="preserve">   6901 Education &amp; Training</t>
  </si>
  <si>
    <t xml:space="preserve">   Total 6800 Legal &amp; Professional Services</t>
  </si>
  <si>
    <t xml:space="preserve">      6803 Legal</t>
  </si>
  <si>
    <t xml:space="preserve">      6802 Business Consulting</t>
  </si>
  <si>
    <t xml:space="preserve">      6801 Accounting</t>
  </si>
  <si>
    <t xml:space="preserve">   6800 Legal &amp; Professional Services</t>
  </si>
  <si>
    <t xml:space="preserve">   Total 6700 Bank &amp; Other Financing Fees</t>
  </si>
  <si>
    <t xml:space="preserve">      6703 QuickBooks Payments Fees</t>
  </si>
  <si>
    <t xml:space="preserve">      6701 Bank &amp; CC Fees</t>
  </si>
  <si>
    <t xml:space="preserve">   6700 Bank &amp; Other Financing Fees</t>
  </si>
  <si>
    <t xml:space="preserve">   Total 6600 Insurance Expenses</t>
  </si>
  <si>
    <t xml:space="preserve">      6606 Worker's Comp Insurance</t>
  </si>
  <si>
    <t xml:space="preserve">      6605 Life &amp; Vision Insurance</t>
  </si>
  <si>
    <t xml:space="preserve">      6604 Health insurance</t>
  </si>
  <si>
    <t xml:space="preserve">      6603 Dental Insurance</t>
  </si>
  <si>
    <t xml:space="preserve">      6602 Equipment Insurance</t>
  </si>
  <si>
    <t xml:space="preserve">      6601 General Liability Insurance</t>
  </si>
  <si>
    <t xml:space="preserve">   6600 Insurance Expenses</t>
  </si>
  <si>
    <t xml:space="preserve">   Total 6500 Taxes &amp; Licenses</t>
  </si>
  <si>
    <t xml:space="preserve">      6502 Tax Expenses</t>
  </si>
  <si>
    <t xml:space="preserve">   6500 Taxes &amp; Licenses</t>
  </si>
  <si>
    <t xml:space="preserve">   Total 6400 Rent &amp; Utilities Expenses</t>
  </si>
  <si>
    <t xml:space="preserve">      6404 Telephone</t>
  </si>
  <si>
    <t xml:space="preserve">      6403 Internet</t>
  </si>
  <si>
    <t xml:space="preserve">      6401 Rent &amp; Lease</t>
  </si>
  <si>
    <t xml:space="preserve">   6400 Rent &amp; Utilities Expenses</t>
  </si>
  <si>
    <t xml:space="preserve">   Total 6300 Vehicle Expenses</t>
  </si>
  <si>
    <t xml:space="preserve">      6303 Repairs &amp; Maintenance</t>
  </si>
  <si>
    <t xml:space="preserve">      6302 Parking &amp; Tolls</t>
  </si>
  <si>
    <t xml:space="preserve">      6301 Gas</t>
  </si>
  <si>
    <t xml:space="preserve">   6300 Vehicle Expenses</t>
  </si>
  <si>
    <t xml:space="preserve">   Total 6200 Travel</t>
  </si>
  <si>
    <t xml:space="preserve">      6204 Transportation</t>
  </si>
  <si>
    <t xml:space="preserve">      6203 Hotel &amp; Accomodations</t>
  </si>
  <si>
    <t xml:space="preserve">      6202 Airfare</t>
  </si>
  <si>
    <t xml:space="preserve">      6201 Meals</t>
  </si>
  <si>
    <t xml:space="preserve">   6200 Travel</t>
  </si>
  <si>
    <t xml:space="preserve">   Total 6150 Office &amp; Other Admin Expenses</t>
  </si>
  <si>
    <t xml:space="preserve">      6156 Shipping &amp; Postage</t>
  </si>
  <si>
    <t xml:space="preserve">      6155 Office Software</t>
  </si>
  <si>
    <t xml:space="preserve">      6154 Office expenses</t>
  </si>
  <si>
    <t xml:space="preserve">      6151 Dues &amp; Subscriptions</t>
  </si>
  <si>
    <t xml:space="preserve">   6150 Office &amp; Other Admin Expenses</t>
  </si>
  <si>
    <t xml:space="preserve">   Total 6100 Advertising &amp; Marketing</t>
  </si>
  <si>
    <t xml:space="preserve">      6101 Marketing</t>
  </si>
  <si>
    <t xml:space="preserve">   6100 Advertising &amp; Marketing</t>
  </si>
  <si>
    <t xml:space="preserve">   Total 6020 Payroll - Employees</t>
  </si>
  <si>
    <t xml:space="preserve">      6030 Payroll Fees</t>
  </si>
  <si>
    <t xml:space="preserve">      6026 401(k) Employer Match</t>
  </si>
  <si>
    <t xml:space="preserve">      6024 Employee Reimbursement</t>
  </si>
  <si>
    <t xml:space="preserve">      6023 Employee Bonus</t>
  </si>
  <si>
    <t xml:space="preserve">      6022 Employee Taxes</t>
  </si>
  <si>
    <t xml:space="preserve">      6021 Employee Wages</t>
  </si>
  <si>
    <t xml:space="preserve">   6020 Payroll - Employees</t>
  </si>
  <si>
    <t xml:space="preserve">   Total 6010 Payroll - Officers</t>
  </si>
  <si>
    <t xml:space="preserve">      6016 401(k) Employee Match</t>
  </si>
  <si>
    <t xml:space="preserve">      6012 Officer Taxes</t>
  </si>
  <si>
    <t xml:space="preserve">      6011 Officer Wages</t>
  </si>
  <si>
    <t xml:space="preserve">   6010 Payroll - Officers</t>
  </si>
  <si>
    <t>Expenses</t>
  </si>
  <si>
    <t>Gross Profit</t>
  </si>
  <si>
    <t>Total Cost of Goods Sold</t>
  </si>
  <si>
    <t xml:space="preserve">   Total 5010 Direct Labor</t>
  </si>
  <si>
    <t xml:space="preserve">      5023 DL - Bonus</t>
  </si>
  <si>
    <t xml:space="preserve">      5022 DL - Taxes</t>
  </si>
  <si>
    <t xml:space="preserve">      5021 DL - EE Wages</t>
  </si>
  <si>
    <t xml:space="preserve">      5011 DL - Officer Wages</t>
  </si>
  <si>
    <t xml:space="preserve">   5010 Direct Labor</t>
  </si>
  <si>
    <t xml:space="preserve">   Total 5000 COGS &amp; Other Direct Expenses</t>
  </si>
  <si>
    <t xml:space="preserve">      5006 Subcontractor Labor</t>
  </si>
  <si>
    <t xml:space="preserve">      5005 Stock Media &amp; Materials</t>
  </si>
  <si>
    <t xml:space="preserve">      5002 Cameras &amp; Equipment</t>
  </si>
  <si>
    <t xml:space="preserve">      5001 Actors &amp; Voiceover Actors</t>
  </si>
  <si>
    <t xml:space="preserve">   5000 COGS &amp; Other Direct Expenses</t>
  </si>
  <si>
    <t>Cost of Goods Sold</t>
  </si>
  <si>
    <t>Total Income</t>
  </si>
  <si>
    <t xml:space="preserve">   4100 Discounts &amp; Refunds given</t>
  </si>
  <si>
    <t xml:space="preserve">   4005 Shipping Income</t>
  </si>
  <si>
    <t xml:space="preserve">   4003 Product Sales Income</t>
  </si>
  <si>
    <t xml:space="preserve">   4002 Retainer Income</t>
  </si>
  <si>
    <t xml:space="preserve">   4000 Video Income</t>
  </si>
  <si>
    <t>Income</t>
  </si>
  <si>
    <t>Total</t>
  </si>
  <si>
    <t>July 2025 - January 2026</t>
  </si>
  <si>
    <t>Profit and Loss</t>
  </si>
  <si>
    <t xml:space="preserve">               2110 CapOne Venture X Biz GG - 5136</t>
  </si>
  <si>
    <t>Business Days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</si>
</sst>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0\ _€"/>
    <numFmt numFmtId="165" formatCode="&quot;$&quot;* #,##0.00\ _€"/>
  </numFmts>
  <fonts count="7">
    <font>
      <name val="Calibri"/>
      <family val="2"/>
      <color indexed="8"/>
      <sz val="11"/>
      <scheme val="minor"/>
    </font>
    <font>
      <name val="Arial"/>
      <family val="2"/>
      <b val="1"/>
      <color indexed="8"/>
      <sz val="9"/>
    </font>
    <font>
      <name val="Arial"/>
      <family val="2"/>
      <b val="1"/>
      <color indexed="8"/>
      <sz val="8"/>
    </font>
    <font>
      <name val="Arial"/>
      <family val="2"/>
      <color indexed="8"/>
      <sz val="8"/>
    </font>
    <font>
      <name val="Arial"/>
      <family val="2"/>
      <b val="1"/>
      <color indexed="8"/>
      <sz val="14"/>
    </font>
    <font>
      <name val="Arial"/>
      <family val="2"/>
      <b val="1"/>
      <color indexed="8"/>
      <sz val="10"/>
    </font>
    <font>
      <family val="2"/>
      <b val="1"/>
      <color/>
    </font>
  </fonts>
  <fills count="5">
    <fill>
      <patternFill patternType="none"/>
    </fill>
    <fill>
      <patternFill patternType="gray125"/>
    </fill>
    <fill>
      <patternFill patternType="solid">
        <fgColor rgb="FF92D050"/>
        <bgColor indexed="64"/>
      </patternFill>
    </fill>
    <fill>
      <patternFill patternType="solid">
        <fgColor rgb="FFFFFF00"/>
      </patternFill>
    </fill>
    <fill>
      <patternFill patternType="solid">
        <fgColor rgb="FFFF0000"/>
      </patternFill>
    </fill>
  </fills>
  <borders count="4">
    <border>
      <left/>
      <right/>
      <top/>
      <bottom/>
      <diagonal/>
    </border>
    <border>
      <left/>
      <right/>
      <top/>
      <bottom style="thin">
        <color auto="true"/>
      </bottom>
      <diagonal/>
    </border>
    <border>
      <left/>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17">
    <xf numFmtId="0" fontId="0" fillId="0" borderId="0" xfId="0"/>
    <xf numFmtId="0" fontId="0" fillId="0" borderId="0" xfId="0" applyAlignment="true">
      <alignment wrapText="true"/>
    </xf>
    <xf numFmtId="0" fontId="1" fillId="0" borderId="1" xfId="0" applyFont="true" applyBorder="true" applyAlignment="true">
      <alignment horizontal="center" wrapText="true"/>
    </xf>
    <xf numFmtId="0" fontId="2" fillId="0" borderId="0" xfId="0" applyFont="true" applyAlignment="true">
      <alignment horizontal="left" wrapText="true"/>
    </xf>
    <xf numFmtId="164" fontId="3" fillId="0" borderId="0" xfId="0" applyNumberFormat="true" applyFont="true" applyAlignment="true">
      <alignment wrapText="true"/>
    </xf>
    <xf numFmtId="164" fontId="3" fillId="0" borderId="0" xfId="0" applyNumberFormat="true" applyFont="true" applyAlignment="true">
      <alignment horizontal="right" wrapText="true"/>
    </xf>
    <xf numFmtId="165" fontId="2" fillId="0" borderId="2" xfId="0" applyNumberFormat="true" applyFont="true" applyBorder="true" applyAlignment="true">
      <alignment horizontal="right" wrapText="true"/>
    </xf>
    <xf numFmtId="0" fontId="1" fillId="2" borderId="1" xfId="0" applyFont="true" applyFill="true" applyBorder="true" applyAlignment="true">
      <alignment horizontal="center" wrapText="true"/>
    </xf>
    <xf numFmtId="0" fontId="1" fillId="0" borderId="0" xfId="0" applyFont="true" applyAlignment="true">
      <alignment horizontal="center" wrapText="true"/>
    </xf>
    <xf numFmtId="0" fontId="4" fillId="0" borderId="0" xfId="0" applyFont="true" applyAlignment="true">
      <alignment horizontal="center"/>
    </xf>
    <xf numFmtId="0" fontId="0" fillId="0" borderId="0" xfId="0"/>
    <xf numFmtId="0" fontId="5" fillId="0" borderId="0" xfId="0" applyFont="true" applyAlignment="true">
      <alignment horizontal="center"/>
    </xf>
    <xf numFmtId="0" fontId="3" fillId="3" borderId="3" xfId="0" applyFont="true" applyFill="true" applyBorder="true" applyAlignment="true">
      <alignment horizontal="right" wrapText="true"/>
    </xf>
    <xf numFmtId="0" fontId="3" fillId="4" borderId="3" xfId="0" applyFont="true" applyFill="true" applyBorder="true" applyAlignment="true">
      <alignment horizontal="right" wrapText="true"/>
    </xf>
    <xf numFmtId="0" fontId="3" fillId="4" borderId="3" xfId="0" applyFont="true" applyFill="true" applyBorder="true" applyAlignment="true">
      <alignment wrapText="true"/>
    </xf>
    <xf numFmtId="0" fontId="6" fillId="0" borderId="0" xfId="0" applyFont="true" applyAlignment="false">
      <alignment/>
    </xf>
    <xf numFmtId="1" fontId="0" fillId="0" borderId="0" xfId="0" applyNumberFormat="true" applyAlignment="false">
      <alignment/>
    </xf>
  </cellXfs>
  <cellStyles count="1">
    <cellStyle name="Normal" xfId="0" builtin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a:theme xmlns:a="http://schemas.openxmlformats.org/drawingml/2006/main" xmlns:r="http://schemas.openxmlformats.org/officeDocument/2006/relationships"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7"/>
  <sheetViews>
    <sheetView tabSelected="true" workbookViewId="0">
      <selection activeCell="I58" sqref="I1:I1048576"/>
    </sheetView>
  </sheetViews>
  <sheetFormatPr defaultRowHeight="14.4"/>
  <cols>
    <col customWidth="true" max="1" min="1" width="47.21875"/>
    <col customWidth="true" max="8" min="2" width="10.33203125"/>
    <col customWidth="true" max="9" min="9" style="1" width="81.5546875"/>
  </cols>
  <sheetData>
    <row r="1" spans="1:9" ht="17.4">
      <c r="A1" s="9" t="s">
        <v>67</v>
      </c>
      <c r="B1" s="10"/>
      <c r="C1" s="10"/>
      <c r="D1" s="10"/>
      <c r="E1" s="10"/>
      <c r="F1" s="10"/>
      <c r="G1" s="10"/>
      <c r="H1" s="10"/>
    </row>
    <row r="2" spans="1:9" ht="17.4">
      <c r="A2" s="9" t="s">
        <v>68</v>
      </c>
      <c r="B2" s="10"/>
      <c r="C2" s="10"/>
      <c r="D2" s="10"/>
      <c r="E2" s="10"/>
      <c r="F2" s="10"/>
      <c r="G2" s="10"/>
      <c r="H2" s="10"/>
    </row>
    <row r="3" spans="1:9">
      <c r="A3" s="11" t="s">
        <v>69</v>
      </c>
      <c r="B3" s="10"/>
      <c r="C3" s="10"/>
      <c r="D3" s="10"/>
      <c r="E3" s="10"/>
      <c r="F3" s="10"/>
      <c r="G3" s="10"/>
      <c r="H3" s="10"/>
    </row>
    <row r="5" spans="1:9">
      <c r="A5" s="1"/>
      <c r="B5" s="2" t="s">
        <v>0</v>
      </c>
      <c r="C5" s="2" t="s">
        <v>1</v>
      </c>
      <c r="D5" s="2" t="s">
        <v>2</v>
      </c>
      <c r="E5" s="2" t="s">
        <v>3</v>
      </c>
      <c r="F5" s="2" t="s">
        <v>4</v>
      </c>
      <c r="G5" s="2" t="s">
        <v>5</v>
      </c>
      <c r="H5" s="7" t="s">
        <v>6</v>
      </c>
      <c r="I5" s="8"/>
    </row>
    <row r="6" spans="1:9">
      <c r="A6" s="3" t="s">
        <v>7</v>
      </c>
      <c r="B6" s="4"/>
      <c r="C6" s="4"/>
      <c r="D6" s="4"/>
      <c r="E6" s="4"/>
      <c r="F6" s="4"/>
      <c r="G6" s="4"/>
      <c r="H6" s="4"/>
    </row>
    <row r="7" spans="1:9">
      <c r="A7" s="3" t="s">
        <v>8</v>
      </c>
      <c r="B7" s="4"/>
      <c r="C7" s="4"/>
      <c r="D7" s="4"/>
      <c r="E7" s="4"/>
      <c r="F7" s="4"/>
      <c r="G7" s="4"/>
      <c r="H7" s="4"/>
    </row>
    <row r="8" spans="1:9">
      <c r="A8" s="3" t="s">
        <v>9</v>
      </c>
      <c r="B8" s="4"/>
      <c r="C8" s="4"/>
      <c r="D8" s="4"/>
      <c r="E8" s="4"/>
      <c r="F8" s="4"/>
      <c r="G8" s="4"/>
      <c r="H8" s="4"/>
    </row>
    <row r="9" spans="1:9">
      <c r="A9" s="3" t="s">
        <v>10</v>
      </c>
      <c r="B9" s="4"/>
      <c r="C9" s="5">
        <f t="shared" ref="C9:H9" si="0">B9</f>
        <v>0</v>
      </c>
      <c r="D9" s="5">
        <f t="shared" si="0"/>
        <v>0</v>
      </c>
      <c r="E9" s="5">
        <f t="shared" si="0"/>
        <v>0</v>
      </c>
      <c r="F9" s="5">
        <f t="shared" si="0"/>
        <v>0</v>
      </c>
      <c r="G9" s="5">
        <f t="shared" si="0"/>
        <v>0</v>
      </c>
      <c r="H9" s="5">
        <f t="shared" si="0"/>
        <v>0</v>
      </c>
    </row>
    <row r="10" spans="1:9">
      <c r="A10" s="3" t="s">
        <v>11</v>
      </c>
      <c r="B10" s="5">
        <f>223210.87</f>
        <v>223210.87</v>
      </c>
      <c r="C10" s="5">
        <f>161847.43</f>
        <v>161847.43</v>
      </c>
      <c r="D10" s="5">
        <f>159166.97</f>
        <v>159166.97</v>
      </c>
      <c r="E10" s="5">
        <f>131994.17</f>
        <v>131994.17000000001</v>
      </c>
      <c r="F10" s="5">
        <f>139042.28</f>
        <v>139042.28</v>
      </c>
      <c r="G10" s="5">
        <f>119106.74</f>
        <v>119106.74</v>
      </c>
      <c r="H10" s="5">
        <f>95039.47</f>
        <v>95039.47</v>
      </c>
    </row>
    <row r="11" spans="1:9">
      <c r="A11" s="3" t="s">
        <v>12</v>
      </c>
      <c r="B11" s="6">
        <f t="shared" ref="B11:H11" si="1">(B9)+(B10)</f>
        <v>223210.87</v>
      </c>
      <c r="C11" s="6">
        <f t="shared" si="1"/>
        <v>161847.43</v>
      </c>
      <c r="D11" s="6">
        <f t="shared" si="1"/>
        <v>159166.97</v>
      </c>
      <c r="E11" s="6">
        <f t="shared" si="1"/>
        <v>131994.17000000001</v>
      </c>
      <c r="F11" s="6">
        <f t="shared" si="1"/>
        <v>139042.28</v>
      </c>
      <c r="G11" s="6">
        <f t="shared" si="1"/>
        <v>119106.74</v>
      </c>
      <c r="H11" s="6">
        <f t="shared" si="1"/>
        <v>95039.47</v>
      </c>
    </row>
    <row r="12" spans="1:9">
      <c r="A12" s="3" t="s">
        <v>13</v>
      </c>
      <c r="B12" s="6">
        <f t="shared" ref="B12:H12" si="2">B11</f>
        <v>223210.87</v>
      </c>
      <c r="C12" s="6">
        <f t="shared" si="2"/>
        <v>161847.43</v>
      </c>
      <c r="D12" s="6">
        <f t="shared" si="2"/>
        <v>159166.97</v>
      </c>
      <c r="E12" s="6">
        <f t="shared" si="2"/>
        <v>131994.17000000001</v>
      </c>
      <c r="F12" s="6">
        <f t="shared" si="2"/>
        <v>139042.28</v>
      </c>
      <c r="G12" s="6">
        <f t="shared" si="2"/>
        <v>119106.74</v>
      </c>
      <c r="H12" s="6">
        <f t="shared" si="2"/>
        <v>95039.47</v>
      </c>
    </row>
    <row r="13" spans="1:9">
      <c r="A13" s="3" t="s">
        <v>14</v>
      </c>
      <c r="B13" s="4"/>
      <c r="C13" s="4"/>
      <c r="D13" s="4"/>
      <c r="E13" s="4"/>
      <c r="F13" s="4"/>
      <c r="G13" s="4"/>
      <c r="H13" s="4"/>
    </row>
    <row r="14" spans="1:9">
      <c r="A14" s="3" t="s">
        <v>15</v>
      </c>
      <c r="B14" s="5">
        <f>100945.57</f>
        <v>100945.57</v>
      </c>
      <c r="C14" s="5">
        <f>108453.07</f>
        <v>108453.07</v>
      </c>
      <c r="D14" s="5">
        <f>144691.4</f>
        <v>144691.4</v>
      </c>
      <c r="E14" s="5">
        <f>135088.12</f>
        <v>135088.12</v>
      </c>
      <c r="F14" s="5">
        <f>114778.45</f>
        <v>114778.45</v>
      </c>
      <c r="G14" s="5">
        <f>134009.38</f>
        <v>134009.38</v>
      </c>
      <c r="H14" s="5">
        <f>167189.9</f>
        <v>167189.9</v>
      </c>
    </row>
    <row r="15" spans="1:9">
      <c r="A15" s="3" t="s">
        <v>16</v>
      </c>
      <c r="B15" s="6">
        <f t="shared" ref="B15:H15" si="3">B14</f>
        <v>100945.57</v>
      </c>
      <c r="C15" s="6">
        <f t="shared" si="3"/>
        <v>108453.07</v>
      </c>
      <c r="D15" s="6">
        <f t="shared" si="3"/>
        <v>144691.4</v>
      </c>
      <c r="E15" s="6">
        <f t="shared" si="3"/>
        <v>135088.12</v>
      </c>
      <c r="F15" s="6">
        <f t="shared" si="3"/>
        <v>114778.45</v>
      </c>
      <c r="G15" s="6">
        <f t="shared" si="3"/>
        <v>134009.38</v>
      </c>
      <c r="H15" s="6">
        <f t="shared" si="3"/>
        <v>167189.9</v>
      </c>
    </row>
    <row r="16" spans="1:9">
      <c r="A16" s="3" t="s">
        <v>17</v>
      </c>
      <c r="B16" s="4"/>
      <c r="C16" s="4"/>
      <c r="D16" s="4"/>
      <c r="E16" s="4"/>
      <c r="F16" s="4"/>
      <c r="G16" s="4"/>
      <c r="H16" s="4"/>
    </row>
    <row r="17" spans="1:8">
      <c r="A17" s="3" t="s">
        <v>18</v>
      </c>
      <c r="B17" s="5">
        <f>2924.04</f>
        <v>2924.04</v>
      </c>
      <c r="C17" s="5">
        <f>10583.04</f>
        <v>10583.04</v>
      </c>
      <c r="D17" s="5">
        <f>6242.04</f>
        <v>6242.04</v>
      </c>
      <c r="E17" s="5">
        <f>21259.37</f>
        <v>21259.37</v>
      </c>
      <c r="F17" s="5">
        <f>13846.7</f>
        <v>13846.7</v>
      </c>
      <c r="G17" s="5">
        <f>15802.34</f>
        <v>15802.34</v>
      </c>
      <c r="H17" s="5">
        <f>12176.34</f>
        <v>12176.34</v>
      </c>
    </row>
    <row r="18" spans="1:8">
      <c r="A18" s="3" t="s">
        <v>19</v>
      </c>
      <c r="B18" s="5">
        <f>514.3</f>
        <v>514.29999999999995</v>
      </c>
      <c r="C18" s="5">
        <f>528.2</f>
        <v>528.20000000000005</v>
      </c>
      <c r="D18" s="5">
        <f>542.1</f>
        <v>542.1</v>
      </c>
      <c r="E18" s="5">
        <f>556</f>
        <v>556</v>
      </c>
      <c r="F18" s="5">
        <f>800.7</f>
        <v>800.7</v>
      </c>
      <c r="G18" s="5">
        <f>1045.4</f>
        <v>1045.4000000000001</v>
      </c>
      <c r="H18" s="5">
        <f>1290.1</f>
        <v>1290.0999999999999</v>
      </c>
    </row>
    <row r="19" spans="1:8">
      <c r="A19" s="3" t="s">
        <v>20</v>
      </c>
      <c r="B19" s="5">
        <f>8343.27</f>
        <v>8343.27</v>
      </c>
      <c r="C19" s="5">
        <f>1130.03</f>
        <v>1130.03</v>
      </c>
      <c r="D19" s="5">
        <f>3425.23</f>
        <v>3425.23</v>
      </c>
      <c r="E19" s="5">
        <f>29452.68</f>
        <v>29452.68</v>
      </c>
      <c r="F19" s="5">
        <f>29137.06</f>
        <v>29137.06</v>
      </c>
      <c r="G19" s="5">
        <f>10731.56</f>
        <v>10731.56</v>
      </c>
      <c r="H19" s="5">
        <f>13070.85</f>
        <v>13070.85</v>
      </c>
    </row>
    <row r="20" spans="1:8">
      <c r="A20" s="3" t="s">
        <v>21</v>
      </c>
      <c r="B20" s="5">
        <f>25347.5</f>
        <v>25347.5</v>
      </c>
      <c r="C20" s="5">
        <f>52954.32</f>
        <v>52954.32</v>
      </c>
      <c r="D20" s="5">
        <f>18900</f>
        <v>18900</v>
      </c>
      <c r="E20" s="5">
        <f>0</f>
        <v>0</v>
      </c>
      <c r="F20" s="5">
        <f>37021.27</f>
        <v>37021.269999999997</v>
      </c>
      <c r="G20" s="5">
        <f>17264.97</f>
        <v>17264.97</v>
      </c>
      <c r="H20" s="5">
        <f>13489.2</f>
        <v>13489.2</v>
      </c>
    </row>
    <row r="21" spans="1:8">
      <c r="A21" s="3" t="s">
        <v>22</v>
      </c>
      <c r="B21" s="6">
        <f t="shared" ref="B21:H21" si="4">(((B17)+(B18))+(B19))+(B20)</f>
        <v>37129.11</v>
      </c>
      <c r="C21" s="6">
        <f t="shared" si="4"/>
        <v>65195.590000000004</v>
      </c>
      <c r="D21" s="6">
        <f t="shared" si="4"/>
        <v>29109.370000000003</v>
      </c>
      <c r="E21" s="6">
        <f t="shared" si="4"/>
        <v>51268.05</v>
      </c>
      <c r="F21" s="6">
        <f t="shared" si="4"/>
        <v>80805.73000000001</v>
      </c>
      <c r="G21" s="6">
        <f t="shared" si="4"/>
        <v>44844.270000000004</v>
      </c>
      <c r="H21" s="6">
        <f t="shared" si="4"/>
        <v>40026.490000000005</v>
      </c>
    </row>
    <row r="22" spans="1:8">
      <c r="A22" s="3" t="s">
        <v>23</v>
      </c>
      <c r="B22" s="6">
        <f t="shared" ref="B22:H22" si="5">((B12)+(B15))+(B21)</f>
        <v>361285.55</v>
      </c>
      <c r="C22" s="6">
        <f t="shared" si="5"/>
        <v>335496.09000000003</v>
      </c>
      <c r="D22" s="6">
        <f t="shared" si="5"/>
        <v>332967.74</v>
      </c>
      <c r="E22" s="6">
        <f t="shared" si="5"/>
        <v>318350.34000000003</v>
      </c>
      <c r="F22" s="6">
        <f t="shared" si="5"/>
        <v>334626.45999999996</v>
      </c>
      <c r="G22" s="6">
        <f t="shared" si="5"/>
        <v>297960.39</v>
      </c>
      <c r="H22" s="6">
        <f t="shared" si="5"/>
        <v>302255.86</v>
      </c>
    </row>
    <row r="23" spans="1:8">
      <c r="A23" s="3" t="s">
        <v>24</v>
      </c>
      <c r="B23" s="4"/>
      <c r="C23" s="4"/>
      <c r="D23" s="4"/>
      <c r="E23" s="4"/>
      <c r="F23" s="4"/>
      <c r="G23" s="4"/>
      <c r="H23" s="4"/>
    </row>
    <row r="24" spans="1:8">
      <c r="A24" s="3" t="s">
        <v>25</v>
      </c>
      <c r="B24" s="4"/>
      <c r="C24" s="5">
        <f t="shared" ref="C24:H27" si="6">B24</f>
        <v>0</v>
      </c>
      <c r="D24" s="5">
        <f t="shared" si="6"/>
        <v>0</v>
      </c>
      <c r="E24" s="5">
        <f t="shared" si="6"/>
        <v>0</v>
      </c>
      <c r="F24" s="5">
        <f t="shared" si="6"/>
        <v>0</v>
      </c>
      <c r="G24" s="5">
        <f t="shared" si="6"/>
        <v>0</v>
      </c>
      <c r="H24" s="5">
        <f t="shared" si="6"/>
        <v>0</v>
      </c>
    </row>
    <row r="25" spans="1:8">
      <c r="A25" s="3" t="s">
        <v>26</v>
      </c>
      <c r="B25" s="5">
        <f>90221.05</f>
        <v>90221.05</v>
      </c>
      <c r="C25" s="5">
        <f t="shared" si="6"/>
        <v>90221.05</v>
      </c>
      <c r="D25" s="5">
        <f t="shared" si="6"/>
        <v>90221.05</v>
      </c>
      <c r="E25" s="5">
        <f t="shared" si="6"/>
        <v>90221.05</v>
      </c>
      <c r="F25" s="5">
        <f>93999.24</f>
        <v>93999.24</v>
      </c>
      <c r="G25" s="5">
        <f>F25</f>
        <v>93999.24</v>
      </c>
      <c r="H25" s="5">
        <f>G25</f>
        <v>93999.24</v>
      </c>
    </row>
    <row r="26" spans="1:8">
      <c r="A26" s="3" t="s">
        <v>27</v>
      </c>
      <c r="B26" s="4"/>
      <c r="C26" s="5">
        <f t="shared" si="6"/>
        <v>0</v>
      </c>
      <c r="D26" s="5">
        <f t="shared" si="6"/>
        <v>0</v>
      </c>
      <c r="E26" s="5">
        <f t="shared" si="6"/>
        <v>0</v>
      </c>
      <c r="F26" s="5">
        <f>15000</f>
        <v>15000</v>
      </c>
      <c r="G26" s="5">
        <f>F26</f>
        <v>15000</v>
      </c>
      <c r="H26" s="5">
        <f>G26</f>
        <v>15000</v>
      </c>
    </row>
    <row r="27" spans="1:8">
      <c r="A27" s="3" t="s">
        <v>28</v>
      </c>
      <c r="B27" s="4"/>
      <c r="C27" s="5">
        <f t="shared" si="6"/>
        <v>0</v>
      </c>
      <c r="D27" s="5">
        <f t="shared" si="6"/>
        <v>0</v>
      </c>
      <c r="E27" s="5">
        <f t="shared" si="6"/>
        <v>0</v>
      </c>
      <c r="F27" s="5">
        <f>E27</f>
        <v>0</v>
      </c>
      <c r="G27" s="5">
        <f>F27</f>
        <v>0</v>
      </c>
      <c r="H27" s="5">
        <f>49627.63</f>
        <v>49627.63</v>
      </c>
    </row>
    <row r="28" spans="1:8">
      <c r="A28" s="3" t="s">
        <v>29</v>
      </c>
      <c r="B28" s="6">
        <f t="shared" ref="B28:H28" si="7">(((B24)+(B25))+(B26))+(B27)</f>
        <v>90221.05</v>
      </c>
      <c r="C28" s="6">
        <f t="shared" si="7"/>
        <v>90221.05</v>
      </c>
      <c r="D28" s="6">
        <f t="shared" si="7"/>
        <v>90221.05</v>
      </c>
      <c r="E28" s="6">
        <f t="shared" si="7"/>
        <v>90221.05</v>
      </c>
      <c r="F28" s="6">
        <f t="shared" si="7"/>
        <v>108999.24</v>
      </c>
      <c r="G28" s="6">
        <f t="shared" si="7"/>
        <v>108999.24</v>
      </c>
      <c r="H28" s="6">
        <f t="shared" si="7"/>
        <v>158626.87</v>
      </c>
    </row>
    <row r="29" spans="1:8">
      <c r="A29" s="3" t="s">
        <v>30</v>
      </c>
      <c r="B29" s="5">
        <f>-76432.81</f>
        <v>-76432.81</v>
      </c>
      <c r="C29" s="5">
        <f>-76671.53</f>
        <v>-76671.53</v>
      </c>
      <c r="D29" s="5">
        <f>-76910.25</f>
        <v>-76910.25</v>
      </c>
      <c r="E29" s="5">
        <f>-77148.97</f>
        <v>-77148.97</v>
      </c>
      <c r="F29" s="5">
        <f>-77700.66</f>
        <v>-77700.66</v>
      </c>
      <c r="G29" s="5">
        <f>-78252.35</f>
        <v>-78252.350000000006</v>
      </c>
      <c r="H29" s="5">
        <f>-79631.17</f>
        <v>-79631.17</v>
      </c>
    </row>
    <row r="30" spans="1:8">
      <c r="A30" s="3" t="s">
        <v>31</v>
      </c>
      <c r="B30" s="6">
        <f t="shared" ref="B30:H30" si="8">(B28)+(B29)</f>
        <v>13788.240000000005</v>
      </c>
      <c r="C30" s="6">
        <f t="shared" si="8"/>
        <v>13549.520000000004</v>
      </c>
      <c r="D30" s="6">
        <f t="shared" si="8"/>
        <v>13310.800000000003</v>
      </c>
      <c r="E30" s="6">
        <f t="shared" si="8"/>
        <v>13072.080000000002</v>
      </c>
      <c r="F30" s="6">
        <f t="shared" si="8"/>
        <v>31298.58</v>
      </c>
      <c r="G30" s="6">
        <f t="shared" si="8"/>
        <v>30746.89</v>
      </c>
      <c r="H30" s="6">
        <f t="shared" si="8"/>
        <v>78995.7</v>
      </c>
    </row>
    <row r="31" spans="1:8">
      <c r="A31" s="3" t="s">
        <v>32</v>
      </c>
      <c r="B31" s="6">
        <f t="shared" ref="B31:H31" si="9">(B22)+(B30)</f>
        <v>375073.79</v>
      </c>
      <c r="C31" s="6">
        <f t="shared" si="9"/>
        <v>349045.61000000004</v>
      </c>
      <c r="D31" s="6">
        <f t="shared" si="9"/>
        <v>346278.54</v>
      </c>
      <c r="E31" s="6">
        <f t="shared" si="9"/>
        <v>331422.42000000004</v>
      </c>
      <c r="F31" s="6">
        <f t="shared" si="9"/>
        <v>365925.04</v>
      </c>
      <c r="G31" s="6">
        <f t="shared" si="9"/>
        <v>328707.28000000003</v>
      </c>
      <c r="H31" s="6">
        <f t="shared" si="9"/>
        <v>381251.56</v>
      </c>
    </row>
    <row r="32" spans="1:8">
      <c r="A32" s="3" t="s">
        <v>33</v>
      </c>
      <c r="B32" s="4"/>
      <c r="C32" s="4"/>
      <c r="D32" s="4"/>
      <c r="E32" s="4"/>
      <c r="F32" s="4"/>
      <c r="G32" s="4"/>
      <c r="H32" s="4"/>
    </row>
    <row r="33" spans="1:9">
      <c r="A33" s="3" t="s">
        <v>34</v>
      </c>
      <c r="B33" s="4"/>
      <c r="C33" s="4"/>
      <c r="D33" s="4"/>
      <c r="E33" s="4"/>
      <c r="F33" s="4"/>
      <c r="G33" s="4"/>
      <c r="H33" s="4"/>
    </row>
    <row r="34" spans="1:9">
      <c r="A34" s="3" t="s">
        <v>35</v>
      </c>
      <c r="B34" s="4"/>
      <c r="C34" s="4"/>
      <c r="D34" s="4"/>
      <c r="E34" s="4"/>
      <c r="F34" s="4"/>
      <c r="G34" s="4"/>
      <c r="H34" s="4"/>
    </row>
    <row r="35" spans="1:9">
      <c r="A35" s="3" t="s">
        <v>36</v>
      </c>
      <c r="B35" s="4"/>
      <c r="C35" s="4"/>
      <c r="D35" s="4"/>
      <c r="E35" s="4"/>
      <c r="F35" s="4"/>
      <c r="G35" s="4"/>
      <c r="H35" s="4"/>
    </row>
    <row r="36" spans="1:9">
      <c r="A36" s="3" t="s">
        <v>37</v>
      </c>
      <c r="B36" s="4"/>
      <c r="C36" s="5">
        <f t="shared" ref="C36:H38" si="10">B36</f>
        <v>0</v>
      </c>
      <c r="D36" s="5">
        <f t="shared" si="10"/>
        <v>0</v>
      </c>
      <c r="E36" s="5">
        <f t="shared" si="10"/>
        <v>0</v>
      </c>
      <c r="F36" s="5">
        <f t="shared" si="10"/>
        <v>0</v>
      </c>
      <c r="G36" s="5">
        <f t="shared" si="10"/>
        <v>0</v>
      </c>
      <c r="H36" s="5">
        <f t="shared" si="10"/>
        <v>0</v>
      </c>
    </row>
    <row r="37" spans="1:9">
      <c r="A37" s="3" t="s">
        <v>38</v>
      </c>
      <c r="B37" s="5">
        <f>0</f>
        <v>0</v>
      </c>
      <c r="C37" s="5">
        <f>B37</f>
        <v>0</v>
      </c>
      <c r="D37" s="5">
        <f>0.74</f>
        <v>0.74</v>
      </c>
      <c r="E37" s="5">
        <f>0</f>
        <v>0</v>
      </c>
      <c r="F37" s="5">
        <f t="shared" si="10"/>
        <v>0</v>
      </c>
      <c r="G37" s="5">
        <f t="shared" si="10"/>
        <v>0</v>
      </c>
      <c r="H37" s="5">
        <f t="shared" si="10"/>
        <v>0</v>
      </c>
    </row>
    <row r="38" spans="1:9">
      <c r="A38" s="3" t="s">
        <v>39</v>
      </c>
      <c r="B38" s="5">
        <f>0</f>
        <v>0</v>
      </c>
      <c r="C38" s="5">
        <f>B38</f>
        <v>0</v>
      </c>
      <c r="D38" s="5">
        <f>88.24</f>
        <v>88.24</v>
      </c>
      <c r="E38" s="5">
        <f>0</f>
        <v>0</v>
      </c>
      <c r="F38" s="5">
        <f t="shared" si="10"/>
        <v>0</v>
      </c>
      <c r="G38" s="5">
        <f t="shared" si="10"/>
        <v>0</v>
      </c>
      <c r="H38" s="5">
        <f t="shared" si="10"/>
        <v>0</v>
      </c>
    </row>
    <row r="39" spans="1:9">
      <c r="A39" s="3" t="s">
        <v>40</v>
      </c>
      <c r="B39" s="5">
        <f>110.96</f>
        <v>110.96</v>
      </c>
      <c r="C39" s="5">
        <f>545.66</f>
        <v>545.66</v>
      </c>
      <c r="D39" s="5">
        <f>-84.94</f>
        <v>-84.94</v>
      </c>
      <c r="E39" s="5">
        <f>D39</f>
        <v>-84.94</v>
      </c>
      <c r="F39" s="5">
        <f>E39</f>
        <v>-84.94</v>
      </c>
      <c r="G39" s="5">
        <f>0</f>
        <v>0</v>
      </c>
      <c r="H39" s="5">
        <f>0</f>
        <v>0</v>
      </c>
    </row>
    <row r="40" spans="1:9">
      <c r="A40" s="3" t="s">
        <v>41</v>
      </c>
      <c r="B40" s="5">
        <f>0</f>
        <v>0</v>
      </c>
      <c r="C40" s="5">
        <f>0</f>
        <v>0</v>
      </c>
      <c r="D40" s="5">
        <f>10.81</f>
        <v>10.81</v>
      </c>
      <c r="E40" s="5">
        <f>0</f>
        <v>0</v>
      </c>
      <c r="F40" s="5">
        <f>0</f>
        <v>0</v>
      </c>
      <c r="G40" s="5">
        <f>1076.27</f>
        <v>1076.27</v>
      </c>
      <c r="H40" s="5">
        <f>0</f>
        <v>0</v>
      </c>
    </row>
    <row r="41" spans="1:9">
      <c r="A41" s="3" t="s">
        <v>42</v>
      </c>
      <c r="B41" s="5">
        <f>3978.88</f>
        <v>3978.88</v>
      </c>
      <c r="C41" s="5">
        <f>0</f>
        <v>0</v>
      </c>
      <c r="D41" s="5">
        <f>0</f>
        <v>0</v>
      </c>
      <c r="E41" s="5">
        <f>D41</f>
        <v>0</v>
      </c>
      <c r="F41" s="5">
        <f>339.96</f>
        <v>339.96</v>
      </c>
      <c r="G41" s="5">
        <f>2940.98</f>
        <v>2940.98</v>
      </c>
      <c r="H41" s="5">
        <f>9.88</f>
        <v>9.8800000000000008</v>
      </c>
    </row>
    <row r="42" spans="1:9">
      <c r="A42" s="3" t="s">
        <v>43</v>
      </c>
      <c r="B42" s="5">
        <f>5778</f>
        <v>5778</v>
      </c>
      <c r="C42" s="5">
        <f>8340.81</f>
        <v>8340.81</v>
      </c>
      <c r="D42" s="5">
        <f>8782.11</f>
        <v>8782.11</v>
      </c>
      <c r="E42" s="5">
        <f>1691.11</f>
        <v>1691.11</v>
      </c>
      <c r="F42" s="5">
        <f>772.84</f>
        <v>772.84</v>
      </c>
      <c r="G42" s="5">
        <f>1635.37</f>
        <v>1635.37</v>
      </c>
      <c r="H42" s="5">
        <f>15372.04</f>
        <v>15372.04</v>
      </c>
    </row>
    <row r="43" spans="1:9">
      <c r="A43" s="3" t="s">
        <v>171</v>
      </c>
      <c r="B43" s="4"/>
      <c r="C43" s="5">
        <f t="shared" ref="C43:H43" si="11">B43</f>
        <v>0</v>
      </c>
      <c r="D43" s="5">
        <f t="shared" si="11"/>
        <v>0</v>
      </c>
      <c r="E43" s="5">
        <f t="shared" si="11"/>
        <v>0</v>
      </c>
      <c r="F43" s="5">
        <f t="shared" si="11"/>
        <v>0</v>
      </c>
      <c r="G43" s="5">
        <f t="shared" si="11"/>
        <v>0</v>
      </c>
      <c r="H43" s="5">
        <f t="shared" si="11"/>
        <v>0</v>
      </c>
    </row>
    <row r="44" spans="1:9">
      <c r="A44" s="3" t="s">
        <v>44</v>
      </c>
      <c r="B44" s="6">
        <f t="shared" ref="B44:H44" si="12">((((((B36)+(B37))+(B38))+(B39))+(B40))+(B41))+(B42)</f>
        <v>9867.84</v>
      </c>
      <c r="C44" s="6">
        <f t="shared" si="12"/>
        <v>8886.4699999999993</v>
      </c>
      <c r="D44" s="6">
        <f t="shared" si="12"/>
        <v>8796.9600000000009</v>
      </c>
      <c r="E44" s="6">
        <f t="shared" si="12"/>
        <v>1606.1699999999998</v>
      </c>
      <c r="F44" s="6">
        <f t="shared" si="12"/>
        <v>1027.8600000000001</v>
      </c>
      <c r="G44" s="6">
        <f t="shared" si="12"/>
        <v>5652.62</v>
      </c>
      <c r="H44" s="6">
        <f t="shared" si="12"/>
        <v>15381.92</v>
      </c>
    </row>
    <row r="45" spans="1:9">
      <c r="A45" s="3" t="s">
        <v>45</v>
      </c>
      <c r="B45" s="6">
        <f t="shared" ref="B45:H45" si="13">B44</f>
        <v>9867.84</v>
      </c>
      <c r="C45" s="6">
        <f t="shared" si="13"/>
        <v>8886.4699999999993</v>
      </c>
      <c r="D45" s="6">
        <f t="shared" si="13"/>
        <v>8796.9600000000009</v>
      </c>
      <c r="E45" s="6">
        <f t="shared" si="13"/>
        <v>1606.1699999999998</v>
      </c>
      <c r="F45" s="6">
        <f t="shared" si="13"/>
        <v>1027.8600000000001</v>
      </c>
      <c r="G45" s="6">
        <f t="shared" si="13"/>
        <v>5652.62</v>
      </c>
      <c r="H45" s="6">
        <f t="shared" si="13"/>
        <v>15381.92</v>
      </c>
    </row>
    <row r="46" spans="1:9">
      <c r="A46" s="3" t="s">
        <v>46</v>
      </c>
      <c r="B46" s="4"/>
      <c r="C46" s="4"/>
      <c r="D46" s="4"/>
      <c r="E46" s="4"/>
      <c r="F46" s="4"/>
      <c r="G46" s="4"/>
      <c r="H46" s="4"/>
    </row>
    <row r="47" spans="1:9">
      <c r="A47" s="3" t="s">
        <v>47</v>
      </c>
      <c r="B47" s="5">
        <f>8593.46</f>
        <v>8593.4599999999991</v>
      </c>
      <c r="C47" s="5">
        <f>6351.2</f>
        <v>6351.2</v>
      </c>
      <c r="D47" s="5">
        <f>6298.81</f>
        <v>6298.81</v>
      </c>
      <c r="E47" s="5">
        <f>6857.14</f>
        <v>6857.14</v>
      </c>
      <c r="F47" s="5">
        <f>7250.8</f>
        <v>7250.8</v>
      </c>
      <c r="G47" s="5">
        <f>6482.77</f>
        <v>6482.77</v>
      </c>
      <c r="H47" s="5">
        <f>7177.51</f>
        <v>7177.51</v>
      </c>
    </row>
    <row r="48" spans="1:9">
      <c r="A48" s="3" t="s">
        <v>48</v>
      </c>
      <c r="B48" s="5">
        <f>23637.36</f>
        <v>23637.360000000001</v>
      </c>
      <c r="C48" s="5">
        <f>0</f>
        <v>0</v>
      </c>
      <c r="D48" s="5">
        <f>C48</f>
        <v>0</v>
      </c>
      <c r="E48" s="5">
        <f>D48</f>
        <v>0</v>
      </c>
      <c r="F48" s="5">
        <f>E48</f>
        <v>0</v>
      </c>
      <c r="G48" s="5">
        <f>4000</f>
        <v>4000</v>
      </c>
      <c r="H48" s="5">
        <f>4000</f>
        <v>4000</v>
      </c>
    </row>
    <row r="49" spans="1:8">
      <c r="A49" s="3" t="s">
        <v>49</v>
      </c>
      <c r="B49" s="5">
        <f>9.28</f>
        <v>9.2799999999999994</v>
      </c>
      <c r="C49" s="5">
        <f>241.73</f>
        <v>241.73</v>
      </c>
      <c r="D49" s="5">
        <f>936.72</f>
        <v>936.72</v>
      </c>
      <c r="E49" s="5">
        <f>40.93</f>
        <v>40.93</v>
      </c>
      <c r="F49" s="5">
        <f>40.93</f>
        <v>40.93</v>
      </c>
      <c r="G49" s="5">
        <f>40.93</f>
        <v>40.93</v>
      </c>
      <c r="H49" s="5">
        <f>-215.74</f>
        <v>-215.74</v>
      </c>
    </row>
    <row r="50" spans="1:8">
      <c r="A50" s="3" t="s">
        <v>50</v>
      </c>
      <c r="B50" s="5">
        <f>11550</f>
        <v>11550</v>
      </c>
      <c r="C50" s="5">
        <f>5230.05</f>
        <v>5230.05</v>
      </c>
      <c r="D50" s="5">
        <f>12699.78</f>
        <v>12699.78</v>
      </c>
      <c r="E50" s="5">
        <f>33374.78</f>
        <v>33374.78</v>
      </c>
      <c r="F50" s="5">
        <f>51909.78</f>
        <v>51909.78</v>
      </c>
      <c r="G50" s="5">
        <f>20417.52</f>
        <v>20417.52</v>
      </c>
      <c r="H50" s="5">
        <f>30490.02</f>
        <v>30490.02</v>
      </c>
    </row>
    <row r="51" spans="1:8">
      <c r="A51" s="3" t="s">
        <v>51</v>
      </c>
      <c r="B51" s="4"/>
      <c r="C51" s="5">
        <f>B51</f>
        <v>0</v>
      </c>
      <c r="D51" s="5">
        <f>C51</f>
        <v>0</v>
      </c>
      <c r="E51" s="5">
        <f>D51</f>
        <v>0</v>
      </c>
      <c r="F51" s="5">
        <f>E51</f>
        <v>0</v>
      </c>
      <c r="G51" s="5">
        <f>F51</f>
        <v>0</v>
      </c>
      <c r="H51" s="5">
        <f>5723.39</f>
        <v>5723.39</v>
      </c>
    </row>
    <row r="52" spans="1:8">
      <c r="A52" s="3" t="s">
        <v>52</v>
      </c>
      <c r="B52" s="4"/>
      <c r="C52" s="5">
        <f>5154.63</f>
        <v>5154.63</v>
      </c>
      <c r="D52" s="5">
        <f>5128.26</f>
        <v>5128.26</v>
      </c>
      <c r="E52" s="5">
        <f>5142.79</f>
        <v>5142.79</v>
      </c>
      <c r="F52" s="5">
        <f>5153.13</f>
        <v>5153.13</v>
      </c>
      <c r="G52" s="5">
        <f>2424.33</f>
        <v>2424.33</v>
      </c>
      <c r="H52" s="5">
        <f>2712.31</f>
        <v>2712.31</v>
      </c>
    </row>
    <row r="53" spans="1:8">
      <c r="A53" s="3" t="s">
        <v>53</v>
      </c>
      <c r="B53" s="6">
        <f t="shared" ref="B53:H53" si="14">(((((B47)+(B48))+(B49))+(B50))+(B51))+(B52)</f>
        <v>43790.1</v>
      </c>
      <c r="C53" s="6">
        <f t="shared" si="14"/>
        <v>16977.61</v>
      </c>
      <c r="D53" s="6">
        <f t="shared" si="14"/>
        <v>25063.57</v>
      </c>
      <c r="E53" s="6">
        <f t="shared" si="14"/>
        <v>45415.64</v>
      </c>
      <c r="F53" s="6">
        <f t="shared" si="14"/>
        <v>64354.64</v>
      </c>
      <c r="G53" s="6">
        <f t="shared" si="14"/>
        <v>33365.550000000003</v>
      </c>
      <c r="H53" s="6">
        <f t="shared" si="14"/>
        <v>49887.49</v>
      </c>
    </row>
    <row r="54" spans="1:8">
      <c r="A54" s="3" t="s">
        <v>54</v>
      </c>
      <c r="B54" s="6">
        <f t="shared" ref="B54:H54" si="15">(B45)+(B53)</f>
        <v>53657.94</v>
      </c>
      <c r="C54" s="6">
        <f t="shared" si="15"/>
        <v>25864.080000000002</v>
      </c>
      <c r="D54" s="6">
        <f t="shared" si="15"/>
        <v>33860.53</v>
      </c>
      <c r="E54" s="6">
        <f t="shared" si="15"/>
        <v>47021.81</v>
      </c>
      <c r="F54" s="6">
        <f t="shared" si="15"/>
        <v>65382.5</v>
      </c>
      <c r="G54" s="6">
        <f t="shared" si="15"/>
        <v>39018.170000000006</v>
      </c>
      <c r="H54" s="6">
        <f t="shared" si="15"/>
        <v>65269.409999999996</v>
      </c>
    </row>
    <row r="55" spans="1:8">
      <c r="A55" s="3" t="s">
        <v>55</v>
      </c>
      <c r="B55" s="4"/>
      <c r="C55" s="4"/>
      <c r="D55" s="4"/>
      <c r="E55" s="4"/>
      <c r="F55" s="4"/>
      <c r="G55" s="4"/>
      <c r="H55" s="4"/>
    </row>
    <row r="56" spans="1:8">
      <c r="A56" s="3" t="s">
        <v>56</v>
      </c>
      <c r="B56" s="4"/>
      <c r="C56" s="5">
        <f>B56</f>
        <v>0</v>
      </c>
      <c r="D56" s="5">
        <f>C56</f>
        <v>0</v>
      </c>
      <c r="E56" s="5">
        <f>D56</f>
        <v>0</v>
      </c>
      <c r="F56" s="5">
        <f>E56</f>
        <v>0</v>
      </c>
      <c r="G56" s="5">
        <f>F56</f>
        <v>0</v>
      </c>
      <c r="H56" s="5">
        <f>18904.24</f>
        <v>18904.240000000002</v>
      </c>
    </row>
    <row r="57" spans="1:8">
      <c r="A57" s="3" t="s">
        <v>57</v>
      </c>
      <c r="B57" s="6">
        <f t="shared" ref="B57:H57" si="16">B56</f>
        <v>0</v>
      </c>
      <c r="C57" s="6">
        <f t="shared" si="16"/>
        <v>0</v>
      </c>
      <c r="D57" s="6">
        <f t="shared" si="16"/>
        <v>0</v>
      </c>
      <c r="E57" s="6">
        <f t="shared" si="16"/>
        <v>0</v>
      </c>
      <c r="F57" s="6">
        <f t="shared" si="16"/>
        <v>0</v>
      </c>
      <c r="G57" s="6">
        <f t="shared" si="16"/>
        <v>0</v>
      </c>
      <c r="H57" s="6">
        <f t="shared" si="16"/>
        <v>18904.240000000002</v>
      </c>
    </row>
    <row r="58" spans="1:8">
      <c r="A58" s="3" t="s">
        <v>58</v>
      </c>
      <c r="B58" s="6">
        <f t="shared" ref="B58:H58" si="17">(B54)+(B57)</f>
        <v>53657.94</v>
      </c>
      <c r="C58" s="6">
        <f t="shared" si="17"/>
        <v>25864.080000000002</v>
      </c>
      <c r="D58" s="6">
        <f t="shared" si="17"/>
        <v>33860.53</v>
      </c>
      <c r="E58" s="6">
        <f t="shared" si="17"/>
        <v>47021.81</v>
      </c>
      <c r="F58" s="6">
        <f t="shared" si="17"/>
        <v>65382.5</v>
      </c>
      <c r="G58" s="6">
        <f t="shared" si="17"/>
        <v>39018.170000000006</v>
      </c>
      <c r="H58" s="6">
        <f t="shared" si="17"/>
        <v>84173.65</v>
      </c>
    </row>
    <row r="59" spans="1:8">
      <c r="A59" s="3" t="s">
        <v>59</v>
      </c>
      <c r="B59" s="4"/>
      <c r="C59" s="4"/>
      <c r="D59" s="4"/>
      <c r="E59" s="4"/>
      <c r="F59" s="4"/>
      <c r="G59" s="4"/>
      <c r="H59" s="4"/>
    </row>
    <row r="60" spans="1:8">
      <c r="A60" s="3" t="s">
        <v>60</v>
      </c>
      <c r="B60" s="5">
        <f>1000</f>
        <v>1000</v>
      </c>
      <c r="C60" s="5">
        <f t="shared" ref="C60:H60" si="18">B60</f>
        <v>1000</v>
      </c>
      <c r="D60" s="5">
        <f t="shared" si="18"/>
        <v>1000</v>
      </c>
      <c r="E60" s="5">
        <f t="shared" si="18"/>
        <v>1000</v>
      </c>
      <c r="F60" s="5">
        <f t="shared" si="18"/>
        <v>1000</v>
      </c>
      <c r="G60" s="5">
        <f t="shared" si="18"/>
        <v>1000</v>
      </c>
      <c r="H60" s="5">
        <f t="shared" si="18"/>
        <v>1000</v>
      </c>
    </row>
    <row r="61" spans="1:8">
      <c r="A61" s="3" t="s">
        <v>61</v>
      </c>
      <c r="B61" s="5">
        <f>0</f>
        <v>0</v>
      </c>
      <c r="C61" s="5">
        <f>B61</f>
        <v>0</v>
      </c>
      <c r="D61" s="5">
        <f>C61</f>
        <v>0</v>
      </c>
      <c r="E61" s="5">
        <f>D61</f>
        <v>0</v>
      </c>
      <c r="F61" s="5">
        <f>15000</f>
        <v>15000</v>
      </c>
      <c r="G61" s="5">
        <f>F61</f>
        <v>15000</v>
      </c>
      <c r="H61" s="5">
        <f>G61</f>
        <v>15000</v>
      </c>
    </row>
    <row r="62" spans="1:8">
      <c r="A62" s="3" t="s">
        <v>62</v>
      </c>
      <c r="B62" s="5">
        <f>-140638.44</f>
        <v>-140638.44</v>
      </c>
      <c r="C62" s="5">
        <f>-163138.44</f>
        <v>-163138.44</v>
      </c>
      <c r="D62" s="5">
        <f>-170638.44</f>
        <v>-170638.44</v>
      </c>
      <c r="E62" s="5">
        <f>-178068.44</f>
        <v>-178068.44</v>
      </c>
      <c r="F62" s="5">
        <f>-193068.44</f>
        <v>-193068.44</v>
      </c>
      <c r="G62" s="5">
        <f>-213193.38</f>
        <v>-213193.38</v>
      </c>
      <c r="H62" s="5">
        <f>-7500</f>
        <v>-7500</v>
      </c>
    </row>
    <row r="63" spans="1:8">
      <c r="A63" s="3" t="s">
        <v>63</v>
      </c>
      <c r="B63" s="5">
        <f>263065.01</f>
        <v>263065.01</v>
      </c>
      <c r="C63" s="5">
        <f>B63</f>
        <v>263065.01</v>
      </c>
      <c r="D63" s="5">
        <f>C63</f>
        <v>263065.01</v>
      </c>
      <c r="E63" s="5">
        <f>D63</f>
        <v>263065.01</v>
      </c>
      <c r="F63" s="5">
        <f>E63</f>
        <v>263065.01</v>
      </c>
      <c r="G63" s="5">
        <f>F63</f>
        <v>263065.01</v>
      </c>
      <c r="H63" s="5">
        <f>273689.11</f>
        <v>273689.11</v>
      </c>
    </row>
    <row r="64" spans="1:8">
      <c r="A64" s="3" t="s">
        <v>64</v>
      </c>
      <c r="B64" s="5">
        <f>197989.28</f>
        <v>197989.28</v>
      </c>
      <c r="C64" s="5">
        <f>222254.96</f>
        <v>222254.96</v>
      </c>
      <c r="D64" s="5">
        <f>218991.44</f>
        <v>218991.44</v>
      </c>
      <c r="E64" s="5">
        <f>198404.04</f>
        <v>198404.04</v>
      </c>
      <c r="F64" s="5">
        <f>214545.97</f>
        <v>214545.97</v>
      </c>
      <c r="G64" s="5">
        <f>223817.48</f>
        <v>223817.48</v>
      </c>
      <c r="H64" s="5">
        <f>14888.8</f>
        <v>14888.8</v>
      </c>
    </row>
    <row r="65" spans="1:8">
      <c r="A65" s="3" t="s">
        <v>65</v>
      </c>
      <c r="B65" s="6">
        <f t="shared" ref="B65:H65" si="19">((((B60)+(B61))+(B62))+(B63))+(B64)</f>
        <v>321415.84999999998</v>
      </c>
      <c r="C65" s="6">
        <f t="shared" si="19"/>
        <v>323181.53000000003</v>
      </c>
      <c r="D65" s="6">
        <f t="shared" si="19"/>
        <v>312418.01</v>
      </c>
      <c r="E65" s="6">
        <f t="shared" si="19"/>
        <v>284400.61</v>
      </c>
      <c r="F65" s="6">
        <f t="shared" si="19"/>
        <v>300542.54000000004</v>
      </c>
      <c r="G65" s="6">
        <f t="shared" si="19"/>
        <v>289689.11</v>
      </c>
      <c r="H65" s="6">
        <f t="shared" si="19"/>
        <v>297077.90999999997</v>
      </c>
    </row>
    <row r="66" spans="1:8">
      <c r="A66" s="3" t="s">
        <v>66</v>
      </c>
      <c r="B66" s="6">
        <f t="shared" ref="B66:H66" si="20">(B58)+(B65)</f>
        <v>375073.79</v>
      </c>
      <c r="C66" s="6">
        <f t="shared" si="20"/>
        <v>349045.61000000004</v>
      </c>
      <c r="D66" s="6">
        <f t="shared" si="20"/>
        <v>346278.54000000004</v>
      </c>
      <c r="E66" s="6">
        <f t="shared" si="20"/>
        <v>331422.42</v>
      </c>
      <c r="F66" s="6">
        <f t="shared" si="20"/>
        <v>365925.04000000004</v>
      </c>
      <c r="G66" s="6">
        <f t="shared" si="20"/>
        <v>328707.27999999997</v>
      </c>
      <c r="H66" s="6">
        <f t="shared" si="20"/>
        <v>381251.55999999994</v>
      </c>
    </row>
    <row r="67" spans="1:8">
      <c r="A67" s="3"/>
      <c r="B67" s="4"/>
      <c r="C67" s="4"/>
      <c r="D67" s="4"/>
      <c r="E67" s="4"/>
      <c r="F67" s="4"/>
      <c r="G67" s="4"/>
      <c r="H67" s="4"/>
    </row>
  </sheetData>
  <mergeCells count="3">
    <mergeCell ref="A1:H1"/>
    <mergeCell ref="A2:H2"/>
    <mergeCell ref="A3:H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E9BB1-9906-4C59-9F79-76DEAD1471F4}">
  <dimension ref="A1:J104"/>
  <sheetViews>
    <sheetView topLeftCell="B94" workbookViewId="0">
      <selection activeCell="J1" sqref="J1:J1048576"/>
    </sheetView>
  </sheetViews>
  <sheetFormatPr defaultRowHeight="14.4"/>
  <cols>
    <col customWidth="true" max="1" min="1" width="37.77734375"/>
    <col customWidth="true" max="4" min="2" width="10.33203125"/>
    <col customWidth="true" max="5" min="5" width="11.21875"/>
    <col customWidth="true" max="7" min="6" width="9.44140625"/>
    <col customWidth="true" max="8" min="8" width="10.33203125"/>
    <col customWidth="true" max="9" min="9" width="11.21875"/>
    <col customWidth="true" max="10" min="10" style="1" width="62.44140625"/>
  </cols>
  <sheetData>
    <row r="1" spans="1:10" ht="17.4">
      <c r="A1" s="9" t="s">
        <v>67</v>
      </c>
      <c r="B1" s="10"/>
      <c r="C1" s="10"/>
      <c r="D1" s="10"/>
      <c r="E1" s="10"/>
      <c r="F1" s="10"/>
      <c r="G1" s="10"/>
      <c r="H1" s="10"/>
      <c r="I1" s="10"/>
    </row>
    <row r="2" spans="1:10" ht="17.4">
      <c r="A2" s="9" t="s">
        <v>170</v>
      </c>
      <c r="B2" s="10"/>
      <c r="C2" s="10"/>
      <c r="D2" s="10"/>
      <c r="E2" s="10"/>
      <c r="F2" s="10"/>
      <c r="G2" s="10"/>
      <c r="H2" s="10"/>
      <c r="I2" s="10"/>
    </row>
    <row r="3" spans="1:10">
      <c r="A3" s="11" t="s">
        <v>169</v>
      </c>
      <c r="B3" s="10"/>
      <c r="C3" s="10"/>
      <c r="D3" s="10"/>
      <c r="E3" s="10"/>
      <c r="F3" s="10"/>
      <c r="G3" s="10"/>
      <c r="H3" s="10"/>
      <c r="I3" s="10"/>
    </row>
    <row r="5">
      <c r="A5" s="15" t="s">
        <v>172</v>
      </c>
      <c r="B5" s="16">
        <v>23</v>
      </c>
      <c r="C5" s="16">
        <v>21</v>
      </c>
      <c r="D5" s="16">
        <v>22</v>
      </c>
      <c r="E5" s="16">
        <v>23</v>
      </c>
      <c r="F5" s="16">
        <v>20</v>
      </c>
      <c r="G5" s="16">
        <v>23</v>
      </c>
      <c r="H5" s="16">
        <v>22</v>
      </c>
    </row>
    <row r="6" spans="1:10">
      <c r="A6" s="1"/>
      <c r="B6" s="2" t="s">
        <v>0</v>
      </c>
      <c r="C6" s="2" t="s">
        <v>1</v>
      </c>
      <c r="D6" s="2" t="s">
        <v>2</v>
      </c>
      <c r="E6" s="2" t="s">
        <v>3</v>
      </c>
      <c r="F6" s="2" t="s">
        <v>4</v>
      </c>
      <c r="G6" s="2" t="s">
        <v>5</v>
      </c>
      <c r="H6" s="7" t="s">
        <v>6</v>
      </c>
      <c r="I6" s="2" t="s">
        <v>168</v>
      </c>
      <c r="J6" s="8"/>
    </row>
    <row r="7" spans="1:10">
      <c r="A7" s="3" t="s">
        <v>167</v>
      </c>
      <c r="B7" s="4"/>
      <c r="C7" s="4"/>
      <c r="D7" s="4"/>
      <c r="E7" s="4"/>
      <c r="F7" s="4"/>
      <c r="G7" s="4"/>
      <c r="H7" s="4"/>
      <c r="I7" s="4"/>
    </row>
    <row r="8" spans="1:10">
      <c r="A8" s="3" t="s">
        <v>166</v>
      </c>
      <c r="B8" s="5">
        <f>148730</f>
        <v>148730</v>
      </c>
      <c r="C8" s="5">
        <f>105154.32</f>
        <v>105154.32</v>
      </c>
      <c r="D8" s="5">
        <f>51041.79</f>
        <v>51041.79</v>
      </c>
      <c r="E8" s="5">
        <f>26349.96</f>
        <v>26349.96</v>
      </c>
      <c r="F8" s="5">
        <f>50121.27</f>
        <v>50121.27</v>
      </c>
      <c r="G8" s="5">
        <f>98004.91</f>
        <v>98004.91</v>
      </c>
      <c r="H8" s="12">
        <f>24919.14</f>
        <v>24919.14</v>
      </c>
      <c r="I8" s="5">
        <f t="shared" ref="I8:I13" si="0">((((((B8)+(C8))+(D8))+(E8))+(F8))+(G8))+(H8)</f>
        <v>504321.39</v>
      </c>
    </row>
    <row r="9" spans="1:10">
      <c r="A9" s="3" t="s">
        <v>165</v>
      </c>
      <c r="B9" s="5">
        <f>4200</f>
        <v>4200</v>
      </c>
      <c r="C9" s="5">
        <f>4200</f>
        <v>4200</v>
      </c>
      <c r="D9" s="5">
        <f>4200</f>
        <v>4200</v>
      </c>
      <c r="E9" s="5">
        <f>6300</f>
        <v>6300</v>
      </c>
      <c r="F9" s="5">
        <f>20685</f>
        <v>20685</v>
      </c>
      <c r="G9" s="5">
        <f>4200</f>
        <v>4200</v>
      </c>
      <c r="H9" s="12">
        <f>23870</f>
        <v>23870</v>
      </c>
      <c r="I9" s="5">
        <f t="shared" si="0"/>
        <v>67655</v>
      </c>
    </row>
    <row r="10" spans="1:10">
      <c r="A10" s="3" t="s">
        <v>164</v>
      </c>
      <c r="B10" s="4"/>
      <c r="C10" s="4"/>
      <c r="D10" s="5">
        <f>57</f>
        <v>57</v>
      </c>
      <c r="E10" s="4"/>
      <c r="F10" s="4"/>
      <c r="G10" s="4"/>
      <c r="H10" s="4"/>
      <c r="I10" s="5">
        <f t="shared" si="0"/>
        <v>57</v>
      </c>
    </row>
    <row r="11" spans="1:10">
      <c r="A11" s="3" t="s">
        <v>163</v>
      </c>
      <c r="B11" s="4"/>
      <c r="C11" s="4"/>
      <c r="D11" s="5">
        <f>18</f>
        <v>18</v>
      </c>
      <c r="E11" s="4"/>
      <c r="F11" s="4"/>
      <c r="G11" s="4"/>
      <c r="H11" s="12">
        <f>85</f>
        <v>85</v>
      </c>
      <c r="I11" s="5">
        <f t="shared" si="0"/>
        <v>103</v>
      </c>
    </row>
    <row r="12" spans="1:10">
      <c r="A12" s="3" t="s">
        <v>162</v>
      </c>
      <c r="B12" s="4"/>
      <c r="C12" s="4"/>
      <c r="D12" s="5">
        <f>-3095.66</f>
        <v>-3095.66</v>
      </c>
      <c r="E12" s="5">
        <f>-2559.99</f>
        <v>-2559.99</v>
      </c>
      <c r="F12" s="4"/>
      <c r="G12" s="5">
        <f>-5119.98</f>
        <v>-5119.98</v>
      </c>
      <c r="H12" s="12">
        <f>0.05</f>
        <v>0.05</v>
      </c>
      <c r="I12" s="5">
        <f t="shared" si="0"/>
        <v>-10775.58</v>
      </c>
    </row>
    <row r="13" spans="1:10">
      <c r="A13" s="3" t="s">
        <v>161</v>
      </c>
      <c r="B13" s="6">
        <f t="shared" ref="B13:H13" si="1">((((B8)+(B9))+(B10))+(B11))+(B12)</f>
        <v>152930</v>
      </c>
      <c r="C13" s="6">
        <f t="shared" si="1"/>
        <v>109354.32</v>
      </c>
      <c r="D13" s="6">
        <f t="shared" si="1"/>
        <v>52221.13</v>
      </c>
      <c r="E13" s="6">
        <f t="shared" si="1"/>
        <v>30089.97</v>
      </c>
      <c r="F13" s="6">
        <f t="shared" si="1"/>
        <v>70806.27</v>
      </c>
      <c r="G13" s="6">
        <f t="shared" si="1"/>
        <v>97084.93</v>
      </c>
      <c r="H13" s="6">
        <f t="shared" si="1"/>
        <v>48874.19</v>
      </c>
      <c r="I13" s="6">
        <f t="shared" si="0"/>
        <v>561360.81</v>
      </c>
    </row>
    <row r="14" spans="1:10">
      <c r="A14" s="3" t="s">
        <v>160</v>
      </c>
      <c r="B14" s="4"/>
      <c r="C14" s="4"/>
      <c r="D14" s="4"/>
      <c r="E14" s="4"/>
      <c r="F14" s="4"/>
      <c r="G14" s="4"/>
      <c r="H14" s="4"/>
      <c r="I14" s="4"/>
    </row>
    <row r="15" spans="1:10">
      <c r="A15" s="3" t="s">
        <v>159</v>
      </c>
      <c r="B15" s="4"/>
      <c r="C15" s="4"/>
      <c r="D15" s="4"/>
      <c r="E15" s="4"/>
      <c r="F15" s="4"/>
      <c r="G15" s="4"/>
      <c r="H15" s="4"/>
      <c r="I15" s="5">
        <f t="shared" ref="I15:I28" si="2">((((((B15)+(C15))+(D15))+(E15))+(F15))+(G15))+(H15)</f>
        <v>0</v>
      </c>
    </row>
    <row r="16" spans="1:10">
      <c r="A16" s="3" t="s">
        <v>158</v>
      </c>
      <c r="B16" s="4"/>
      <c r="C16" s="5">
        <f>250</f>
        <v>250</v>
      </c>
      <c r="D16" s="4"/>
      <c r="E16" s="4"/>
      <c r="F16" s="4"/>
      <c r="G16" s="4"/>
      <c r="H16" s="12">
        <f>250</f>
        <v>250</v>
      </c>
      <c r="I16" s="5">
        <f t="shared" si="2"/>
        <v>500</v>
      </c>
    </row>
    <row r="17" spans="1:10">
      <c r="A17" s="3" t="s">
        <v>157</v>
      </c>
      <c r="B17" s="5">
        <f>1835.42</f>
        <v>1835.42</v>
      </c>
      <c r="C17" s="5">
        <f>1552.25</f>
        <v>1552.25</v>
      </c>
      <c r="D17" s="5">
        <f>1935.96</f>
        <v>1935.96</v>
      </c>
      <c r="E17" s="4"/>
      <c r="F17" s="5">
        <f>339.96</f>
        <v>339.96</v>
      </c>
      <c r="G17" s="5">
        <f>2766.82</f>
        <v>2766.82</v>
      </c>
      <c r="H17" s="12">
        <f>59.78</f>
        <v>59.78</v>
      </c>
      <c r="I17" s="5">
        <f t="shared" si="2"/>
        <v>8490.19</v>
      </c>
    </row>
    <row r="18" spans="1:9">
      <c r="A18" s="3" t="s">
        <v>156</v>
      </c>
      <c r="B18" s="5">
        <f>1546.4</f>
        <v>1546.4</v>
      </c>
      <c r="C18" s="5">
        <f>219</f>
        <v>219</v>
      </c>
      <c r="D18" s="5">
        <f>170.97</f>
        <v>170.97</v>
      </c>
      <c r="E18" s="5">
        <f>300</f>
        <v>300</v>
      </c>
      <c r="F18" s="5">
        <f>300</f>
        <v>300</v>
      </c>
      <c r="G18" s="5">
        <f>900</f>
        <v>900</v>
      </c>
      <c r="H18" s="12">
        <f>375</f>
        <v>375</v>
      </c>
      <c r="I18" s="5">
        <f t="shared" si="2"/>
        <v>3811.37</v>
      </c>
    </row>
    <row r="19" spans="1:9">
      <c r="A19" s="3" t="s">
        <v>155</v>
      </c>
      <c r="B19" s="5">
        <f>43774.35</f>
        <v>43774.35</v>
      </c>
      <c r="C19" s="5">
        <f>25175.66</f>
        <v>25175.66</v>
      </c>
      <c r="D19" s="5">
        <f>10046.95</f>
        <v>10046.95</v>
      </c>
      <c r="E19" s="5">
        <f>5544.11</f>
        <v>5544.11</v>
      </c>
      <c r="F19" s="5">
        <f>9854.17</f>
        <v>9854.17</v>
      </c>
      <c r="G19" s="5">
        <f>22058.72</f>
        <v>22058.72</v>
      </c>
      <c r="H19" s="12">
        <f>5513.77</f>
        <v>5513.77</v>
      </c>
      <c r="I19" s="5">
        <f t="shared" si="2"/>
        <v>121967.73</v>
      </c>
    </row>
    <row r="20" spans="1:9">
      <c r="A20" s="3" t="s">
        <v>154</v>
      </c>
      <c r="B20" s="6">
        <f t="shared" ref="B20:H20" si="3">((((B15)+(B16))+(B17))+(B18))+(B19)</f>
        <v>47156.17</v>
      </c>
      <c r="C20" s="6">
        <f t="shared" si="3"/>
        <v>27196.91</v>
      </c>
      <c r="D20" s="6">
        <f t="shared" si="3"/>
        <v>12153.88</v>
      </c>
      <c r="E20" s="6">
        <f t="shared" si="3"/>
        <v>5844.11</v>
      </c>
      <c r="F20" s="6">
        <f t="shared" si="3"/>
        <v>10494.13</v>
      </c>
      <c r="G20" s="6">
        <f t="shared" si="3"/>
        <v>25725.54</v>
      </c>
      <c r="H20" s="6">
        <f t="shared" si="3"/>
        <v>6198.55</v>
      </c>
      <c r="I20" s="6">
        <f t="shared" si="2"/>
        <v>134769.29</v>
      </c>
    </row>
    <row r="21" spans="1:9">
      <c r="A21" s="3" t="s">
        <v>153</v>
      </c>
      <c r="B21" s="4"/>
      <c r="C21" s="4"/>
      <c r="D21" s="4"/>
      <c r="E21" s="4"/>
      <c r="F21" s="4"/>
      <c r="G21" s="4"/>
      <c r="H21" s="4"/>
      <c r="I21" s="5">
        <f t="shared" si="2"/>
        <v>0</v>
      </c>
    </row>
    <row r="22" spans="1:9">
      <c r="A22" s="3" t="s">
        <v>152</v>
      </c>
      <c r="B22" s="5">
        <f>2000</f>
        <v>2000</v>
      </c>
      <c r="C22" s="5">
        <f>2000</f>
        <v>2000</v>
      </c>
      <c r="D22" s="5">
        <f>2000</f>
        <v>2000</v>
      </c>
      <c r="E22" s="5">
        <f>2000</f>
        <v>2000</v>
      </c>
      <c r="F22" s="5">
        <f>2000</f>
        <v>2000</v>
      </c>
      <c r="G22" s="5">
        <f>2000</f>
        <v>2000</v>
      </c>
      <c r="H22" s="12">
        <f>2000</f>
        <v>2000</v>
      </c>
      <c r="I22" s="5">
        <f t="shared" si="2"/>
        <v>14000</v>
      </c>
    </row>
    <row r="23" spans="1:9">
      <c r="A23" s="3" t="s">
        <v>151</v>
      </c>
      <c r="B23" s="5">
        <f>8957.59</f>
        <v>8957.59</v>
      </c>
      <c r="C23" s="5">
        <f>12405.15</f>
        <v>12405.15</v>
      </c>
      <c r="D23" s="5">
        <f>7035</f>
        <v>7035</v>
      </c>
      <c r="E23" s="5">
        <f>4887.94</f>
        <v>4887.94</v>
      </c>
      <c r="F23" s="5">
        <f>5877.24</f>
        <v>5877.24</v>
      </c>
      <c r="G23" s="5">
        <f>16102.89</f>
        <v>16102.89</v>
      </c>
      <c r="H23" s="12">
        <f>8099.66</f>
        <v>8099.66</v>
      </c>
      <c r="I23" s="5">
        <f t="shared" si="2"/>
        <v>63365.47</v>
      </c>
    </row>
    <row r="24" spans="1:9">
      <c r="A24" s="3" t="s">
        <v>150</v>
      </c>
      <c r="B24" s="5">
        <f>1057.05</f>
        <v>1057.05</v>
      </c>
      <c r="C24" s="5">
        <f>951.12</f>
        <v>951.12</v>
      </c>
      <c r="D24" s="5">
        <f>835.52</f>
        <v>835.52</v>
      </c>
      <c r="E24" s="5">
        <f>902.73</f>
        <v>902.73</v>
      </c>
      <c r="F24" s="5">
        <f>957.21</f>
        <v>957.21</v>
      </c>
      <c r="G24" s="5">
        <f>953.89</f>
        <v>953.89</v>
      </c>
      <c r="H24" s="12">
        <f>945.03</f>
        <v>945.03</v>
      </c>
      <c r="I24" s="5">
        <f t="shared" si="2"/>
        <v>6602.55</v>
      </c>
    </row>
    <row r="25" spans="1:9">
      <c r="A25" s="3" t="s">
        <v>149</v>
      </c>
      <c r="B25" s="5">
        <f>1890</f>
        <v>1890</v>
      </c>
      <c r="C25" s="5">
        <f>2005</f>
        <v>2005</v>
      </c>
      <c r="D25" s="5">
        <f>100</f>
        <v>100</v>
      </c>
      <c r="E25" s="5">
        <f>334.47</f>
        <v>334.47</v>
      </c>
      <c r="F25" s="5">
        <f>737.73</f>
        <v>737.73</v>
      </c>
      <c r="G25" s="5">
        <f>749.75</f>
        <v>749.75</v>
      </c>
      <c r="H25" s="12">
        <f>30</f>
        <v>30</v>
      </c>
      <c r="I25" s="5">
        <f t="shared" si="2"/>
        <v>5846.95</v>
      </c>
    </row>
    <row r="26" spans="1:9">
      <c r="A26" s="3" t="s">
        <v>148</v>
      </c>
      <c r="B26" s="6">
        <f t="shared" ref="B26:H26" si="4">((((B21)+(B22))+(B23))+(B24))+(B25)</f>
        <v>13904.64</v>
      </c>
      <c r="C26" s="6">
        <f t="shared" si="4"/>
        <v>17361.27</v>
      </c>
      <c r="D26" s="6">
        <f t="shared" si="4"/>
        <v>9970.52</v>
      </c>
      <c r="E26" s="6">
        <f t="shared" si="4"/>
        <v>8125.14</v>
      </c>
      <c r="F26" s="6">
        <f t="shared" si="4"/>
        <v>9572.18</v>
      </c>
      <c r="G26" s="6">
        <f t="shared" si="4"/>
        <v>19806.53</v>
      </c>
      <c r="H26" s="6">
        <f t="shared" si="4"/>
        <v>11074.69</v>
      </c>
      <c r="I26" s="6">
        <f t="shared" si="2"/>
        <v>89814.97</v>
      </c>
    </row>
    <row r="27" spans="1:9">
      <c r="A27" s="3" t="s">
        <v>147</v>
      </c>
      <c r="B27" s="6">
        <f t="shared" ref="B27:H27" si="5">(B20)+(B26)</f>
        <v>61060.81</v>
      </c>
      <c r="C27" s="6">
        <f t="shared" si="5"/>
        <v>44558.18</v>
      </c>
      <c r="D27" s="6">
        <f t="shared" si="5"/>
        <v>22124.4</v>
      </c>
      <c r="E27" s="6">
        <f t="shared" si="5"/>
        <v>13969.25</v>
      </c>
      <c r="F27" s="6">
        <f t="shared" si="5"/>
        <v>20066.31</v>
      </c>
      <c r="G27" s="6">
        <f t="shared" si="5"/>
        <v>45532.07</v>
      </c>
      <c r="H27" s="6">
        <f t="shared" si="5"/>
        <v>17273.24</v>
      </c>
      <c r="I27" s="6">
        <f t="shared" si="2"/>
        <v>224584.26</v>
      </c>
    </row>
    <row r="28" spans="1:9">
      <c r="A28" s="3" t="s">
        <v>146</v>
      </c>
      <c r="B28" s="6">
        <f t="shared" ref="B28:H28" si="6">(B13)-(B27)</f>
        <v>91869.19</v>
      </c>
      <c r="C28" s="6">
        <f t="shared" si="6"/>
        <v>64796.14</v>
      </c>
      <c r="D28" s="6">
        <f t="shared" si="6"/>
        <v>30096.73</v>
      </c>
      <c r="E28" s="6">
        <f t="shared" si="6"/>
        <v>16120.72</v>
      </c>
      <c r="F28" s="6">
        <f t="shared" si="6"/>
        <v>50739.96</v>
      </c>
      <c r="G28" s="6">
        <f t="shared" si="6"/>
        <v>51552.86</v>
      </c>
      <c r="H28" s="6">
        <f t="shared" si="6"/>
        <v>31600.95</v>
      </c>
      <c r="I28" s="6">
        <f t="shared" si="2"/>
        <v>336776.55</v>
      </c>
    </row>
    <row r="29" spans="1:9">
      <c r="A29" s="3" t="s">
        <v>145</v>
      </c>
      <c r="B29" s="4"/>
      <c r="C29" s="4"/>
      <c r="D29" s="4"/>
      <c r="E29" s="4"/>
      <c r="F29" s="4"/>
      <c r="G29" s="4"/>
      <c r="H29" s="4"/>
      <c r="I29" s="4"/>
    </row>
    <row r="30" spans="1:9">
      <c r="A30" s="3" t="s">
        <v>144</v>
      </c>
      <c r="B30" s="4"/>
      <c r="C30" s="4"/>
      <c r="D30" s="4"/>
      <c r="E30" s="4"/>
      <c r="F30" s="4"/>
      <c r="G30" s="4"/>
      <c r="H30" s="4"/>
      <c r="I30" s="5">
        <f t="shared" ref="I30:I90" si="7">((((((B30)+(C30))+(D30))+(E30))+(F30))+(G30))+(H30)</f>
        <v>0</v>
      </c>
    </row>
    <row r="31" spans="1:9">
      <c r="A31" s="3" t="s">
        <v>143</v>
      </c>
      <c r="B31" s="5">
        <f>8000</f>
        <v>8000</v>
      </c>
      <c r="C31" s="5">
        <f>8000</f>
        <v>8000</v>
      </c>
      <c r="D31" s="5">
        <f>8000</f>
        <v>8000</v>
      </c>
      <c r="E31" s="5">
        <f>8000</f>
        <v>8000</v>
      </c>
      <c r="F31" s="5">
        <f>8227.27</f>
        <v>8227.27</v>
      </c>
      <c r="G31" s="5">
        <f>7772.73</f>
        <v>7772.73</v>
      </c>
      <c r="H31" s="5">
        <f>8227.27</f>
        <v>8227.27</v>
      </c>
      <c r="I31" s="5">
        <f t="shared" si="7"/>
        <v>56227.27</v>
      </c>
    </row>
    <row r="32" spans="1:9">
      <c r="A32" s="3" t="s">
        <v>142</v>
      </c>
      <c r="B32" s="5">
        <f>765</f>
        <v>765</v>
      </c>
      <c r="C32" s="5">
        <f>765</f>
        <v>765</v>
      </c>
      <c r="D32" s="5">
        <f>765</f>
        <v>765</v>
      </c>
      <c r="E32" s="5">
        <f>765</f>
        <v>765</v>
      </c>
      <c r="F32" s="5">
        <f>782.39</f>
        <v>782.39</v>
      </c>
      <c r="G32" s="5">
        <f>747.61</f>
        <v>747.61</v>
      </c>
      <c r="H32" s="12">
        <f>853.04</f>
        <v>853.04</v>
      </c>
      <c r="I32" s="5">
        <f t="shared" si="7"/>
        <v>5443.04</v>
      </c>
    </row>
    <row r="33" spans="1:9">
      <c r="A33" s="3" t="s">
        <v>141</v>
      </c>
      <c r="B33" s="4"/>
      <c r="C33" s="5">
        <f>345.3</f>
        <v>345.3</v>
      </c>
      <c r="D33" s="5">
        <f>345.3</f>
        <v>345.3</v>
      </c>
      <c r="E33" s="5">
        <f>345.3</f>
        <v>345.3</v>
      </c>
      <c r="F33" s="5">
        <f>345.3</f>
        <v>345.3</v>
      </c>
      <c r="G33" s="5">
        <f>345.3</f>
        <v>345.3</v>
      </c>
      <c r="H33" s="5">
        <f>337.98</f>
        <v>337.98</v>
      </c>
      <c r="I33" s="5">
        <f t="shared" si="7"/>
        <v>2064.48</v>
      </c>
    </row>
    <row r="34" spans="1:9">
      <c r="A34" s="3" t="s">
        <v>140</v>
      </c>
      <c r="B34" s="6">
        <f t="shared" ref="B34:H34" si="8">(((B30)+(B31))+(B32))+(B33)</f>
        <v>8765</v>
      </c>
      <c r="C34" s="6">
        <f t="shared" si="8"/>
        <v>9110.3</v>
      </c>
      <c r="D34" s="6">
        <f t="shared" si="8"/>
        <v>9110.3</v>
      </c>
      <c r="E34" s="6">
        <f t="shared" si="8"/>
        <v>9110.3</v>
      </c>
      <c r="F34" s="6">
        <f t="shared" si="8"/>
        <v>9354.96</v>
      </c>
      <c r="G34" s="6">
        <f t="shared" si="8"/>
        <v>8865.64</v>
      </c>
      <c r="H34" s="6">
        <f t="shared" si="8"/>
        <v>9418.29</v>
      </c>
      <c r="I34" s="6">
        <f t="shared" si="7"/>
        <v>63734.79</v>
      </c>
    </row>
    <row r="35" spans="1:9">
      <c r="A35" s="3" t="s">
        <v>139</v>
      </c>
      <c r="B35" s="4"/>
      <c r="C35" s="4"/>
      <c r="D35" s="4"/>
      <c r="E35" s="4"/>
      <c r="F35" s="4"/>
      <c r="G35" s="4"/>
      <c r="H35" s="4"/>
      <c r="I35" s="5">
        <f t="shared" si="7"/>
        <v>0</v>
      </c>
    </row>
    <row r="36" spans="1:9">
      <c r="A36" s="3" t="s">
        <v>138</v>
      </c>
      <c r="B36" s="5">
        <f>7799.24</f>
        <v>7799.24</v>
      </c>
      <c r="C36" s="5">
        <f>5365.16</f>
        <v>5365.16</v>
      </c>
      <c r="D36" s="5">
        <f>6728.79</f>
        <v>6728.79</v>
      </c>
      <c r="E36" s="5">
        <f>6728.79</f>
        <v>6728.79</v>
      </c>
      <c r="F36" s="5">
        <f>6940.75</f>
        <v>6940.75</v>
      </c>
      <c r="G36" s="5">
        <f>6516.83</f>
        <v>6516.83</v>
      </c>
      <c r="H36" s="12">
        <f>7013.25</f>
        <v>7013.25</v>
      </c>
      <c r="I36" s="5">
        <f t="shared" si="7"/>
        <v>47092.81</v>
      </c>
    </row>
    <row r="37" spans="1:9">
      <c r="A37" s="3" t="s">
        <v>137</v>
      </c>
      <c r="B37" s="5">
        <f>362.05</f>
        <v>362.05</v>
      </c>
      <c r="C37" s="5">
        <f>415.05</f>
        <v>415.05</v>
      </c>
      <c r="D37" s="5">
        <f>358.22</f>
        <v>358.22</v>
      </c>
      <c r="E37" s="5">
        <f>369.38</f>
        <v>369.38</v>
      </c>
      <c r="F37" s="5">
        <f>374.34</f>
        <v>374.34</v>
      </c>
      <c r="G37" s="5">
        <f>383.48</f>
        <v>383.48</v>
      </c>
      <c r="H37" s="5">
        <f>396.42</f>
        <v>396.42</v>
      </c>
      <c r="I37" s="5">
        <f t="shared" si="7"/>
        <v>2658.94</v>
      </c>
    </row>
    <row r="38" spans="1:9">
      <c r="A38" s="3" t="s">
        <v>136</v>
      </c>
      <c r="B38" s="5">
        <f>73.64</f>
        <v>73.64</v>
      </c>
      <c r="C38" s="5">
        <f>743.18</f>
        <v>743.18</v>
      </c>
      <c r="D38" s="5">
        <f>45.45</f>
        <v>45.45</v>
      </c>
      <c r="E38" s="5">
        <f>91.35</f>
        <v>91.35</v>
      </c>
      <c r="F38" s="5">
        <f>0</f>
        <v>0</v>
      </c>
      <c r="G38" s="5">
        <f>95</f>
        <v>95</v>
      </c>
      <c r="H38" s="13">
        <f>0</f>
        <v>0</v>
      </c>
      <c r="I38" s="5">
        <f t="shared" si="7"/>
        <v>1048.62</v>
      </c>
    </row>
    <row r="39" spans="1:9">
      <c r="A39" s="3" t="s">
        <v>135</v>
      </c>
      <c r="B39" s="5">
        <f>201</f>
        <v>201</v>
      </c>
      <c r="C39" s="4"/>
      <c r="D39" s="4"/>
      <c r="E39" s="4"/>
      <c r="F39" s="4"/>
      <c r="G39" s="4"/>
      <c r="H39" s="14"/>
      <c r="I39" s="5">
        <f t="shared" si="7"/>
        <v>201</v>
      </c>
    </row>
    <row r="40" spans="1:9">
      <c r="A40" s="3" t="s">
        <v>134</v>
      </c>
      <c r="B40" s="4"/>
      <c r="C40" s="5">
        <f>585.11</f>
        <v>585.11</v>
      </c>
      <c r="D40" s="5">
        <f>476.03</f>
        <v>476.03</v>
      </c>
      <c r="E40" s="5">
        <f>489.91</f>
        <v>489.91</v>
      </c>
      <c r="F40" s="5">
        <f>525.04</f>
        <v>525.04</v>
      </c>
      <c r="G40" s="5">
        <f>512.88</f>
        <v>512.88</v>
      </c>
      <c r="H40" s="5">
        <f>493.61</f>
        <v>493.61</v>
      </c>
      <c r="I40" s="5">
        <f t="shared" si="7"/>
        <v>3082.58</v>
      </c>
    </row>
    <row r="41" spans="1:9">
      <c r="A41" s="3" t="s">
        <v>133</v>
      </c>
      <c r="B41" s="5">
        <f>351.59</f>
        <v>351.59</v>
      </c>
      <c r="C41" s="5">
        <f>269.69</f>
        <v>269.69</v>
      </c>
      <c r="D41" s="5">
        <f>250.51</f>
        <v>250.51</v>
      </c>
      <c r="E41" s="5">
        <f>191.46</f>
        <v>191.46</v>
      </c>
      <c r="F41" s="5">
        <f>148.17</f>
        <v>148.17</v>
      </c>
      <c r="G41" s="5">
        <f>97.01</f>
        <v>97.01</v>
      </c>
      <c r="H41" s="12">
        <f>202.52</f>
        <v>202.52</v>
      </c>
      <c r="I41" s="5">
        <f t="shared" si="7"/>
        <v>1510.95</v>
      </c>
    </row>
    <row r="42" spans="1:9">
      <c r="A42" s="3" t="s">
        <v>132</v>
      </c>
      <c r="B42" s="6">
        <f t="shared" ref="B42:H42" si="9">((((((B35)+(B36))+(B37))+(B38))+(B39))+(B40))+(B41)</f>
        <v>8787.52</v>
      </c>
      <c r="C42" s="6">
        <f t="shared" si="9"/>
        <v>7378.19</v>
      </c>
      <c r="D42" s="6">
        <f t="shared" si="9"/>
        <v>7859</v>
      </c>
      <c r="E42" s="6">
        <f t="shared" si="9"/>
        <v>7870.89</v>
      </c>
      <c r="F42" s="6">
        <f t="shared" si="9"/>
        <v>7988.3</v>
      </c>
      <c r="G42" s="6">
        <f t="shared" si="9"/>
        <v>7605.2</v>
      </c>
      <c r="H42" s="6">
        <f t="shared" si="9"/>
        <v>8105.8</v>
      </c>
      <c r="I42" s="6">
        <f t="shared" si="7"/>
        <v>55594.9</v>
      </c>
    </row>
    <row r="43" spans="1:9">
      <c r="A43" s="3" t="s">
        <v>131</v>
      </c>
      <c r="B43" s="4"/>
      <c r="C43" s="4"/>
      <c r="D43" s="4"/>
      <c r="E43" s="4"/>
      <c r="F43" s="4"/>
      <c r="G43" s="4"/>
      <c r="H43" s="4"/>
      <c r="I43" s="5">
        <f t="shared" si="7"/>
        <v>0</v>
      </c>
    </row>
    <row r="44" spans="1:9">
      <c r="A44" s="3" t="s">
        <v>130</v>
      </c>
      <c r="B44" s="5">
        <f>617.89</f>
        <v>617.89</v>
      </c>
      <c r="C44" s="5">
        <f>699.72</f>
        <v>699.72</v>
      </c>
      <c r="D44" s="5">
        <f>824.59</f>
        <v>824.59</v>
      </c>
      <c r="E44" s="5">
        <f>347.78</f>
        <v>347.78</v>
      </c>
      <c r="F44" s="5">
        <f>204.52</f>
        <v>204.52</v>
      </c>
      <c r="G44" s="5">
        <f>267.25</f>
        <v>267.25</v>
      </c>
      <c r="H44" s="12">
        <f>468.13</f>
        <v>468.13</v>
      </c>
      <c r="I44" s="5">
        <f t="shared" si="7"/>
        <v>3429.88</v>
      </c>
    </row>
    <row r="45" spans="1:9">
      <c r="A45" s="3" t="s">
        <v>129</v>
      </c>
      <c r="B45" s="6">
        <f t="shared" ref="B45:H45" si="10">(B43)+(B44)</f>
        <v>617.89</v>
      </c>
      <c r="C45" s="6">
        <f t="shared" si="10"/>
        <v>699.72</v>
      </c>
      <c r="D45" s="6">
        <f t="shared" si="10"/>
        <v>824.59</v>
      </c>
      <c r="E45" s="6">
        <f t="shared" si="10"/>
        <v>347.78</v>
      </c>
      <c r="F45" s="6">
        <f t="shared" si="10"/>
        <v>204.52</v>
      </c>
      <c r="G45" s="6">
        <f t="shared" si="10"/>
        <v>267.25</v>
      </c>
      <c r="H45" s="6">
        <f t="shared" si="10"/>
        <v>468.13</v>
      </c>
      <c r="I45" s="6">
        <f t="shared" si="7"/>
        <v>3429.88</v>
      </c>
    </row>
    <row r="46" spans="1:9">
      <c r="A46" s="3" t="s">
        <v>128</v>
      </c>
      <c r="B46" s="4"/>
      <c r="C46" s="4"/>
      <c r="D46" s="4"/>
      <c r="E46" s="4"/>
      <c r="F46" s="4"/>
      <c r="G46" s="4"/>
      <c r="H46" s="4"/>
      <c r="I46" s="5">
        <f t="shared" si="7"/>
        <v>0</v>
      </c>
    </row>
    <row r="47" spans="1:9">
      <c r="A47" s="3" t="s">
        <v>127</v>
      </c>
      <c r="B47" s="5">
        <f>187.58</f>
        <v>187.58</v>
      </c>
      <c r="C47" s="5">
        <f>133.4</f>
        <v>133.4</v>
      </c>
      <c r="D47" s="5">
        <f>174.84</f>
        <v>174.84</v>
      </c>
      <c r="E47" s="5">
        <f>360.35</f>
        <v>360.35</v>
      </c>
      <c r="F47" s="5">
        <f>261.41</f>
        <v>261.41</v>
      </c>
      <c r="G47" s="5">
        <f>375.68</f>
        <v>375.68</v>
      </c>
      <c r="H47" s="5">
        <f>226.76</f>
        <v>226.76</v>
      </c>
      <c r="I47" s="5">
        <f t="shared" si="7"/>
        <v>1720.02</v>
      </c>
    </row>
    <row r="48" spans="1:9">
      <c r="A48" s="3" t="s">
        <v>126</v>
      </c>
      <c r="B48" s="5">
        <f>1381.32</f>
        <v>1381.32</v>
      </c>
      <c r="C48" s="5">
        <f>355.54</f>
        <v>355.54</v>
      </c>
      <c r="D48" s="5">
        <f>1530.24</f>
        <v>1530.24</v>
      </c>
      <c r="E48" s="5">
        <f>1931.22</f>
        <v>1931.22</v>
      </c>
      <c r="F48" s="5">
        <f>0</f>
        <v>0</v>
      </c>
      <c r="G48" s="5">
        <f>687.37</f>
        <v>687.37</v>
      </c>
      <c r="H48" s="12">
        <f>132.65</f>
        <v>132.65</v>
      </c>
      <c r="I48" s="5">
        <f t="shared" si="7"/>
        <v>6018.34</v>
      </c>
    </row>
    <row r="49" spans="1:9">
      <c r="A49" s="3" t="s">
        <v>125</v>
      </c>
      <c r="B49" s="5">
        <f>1479.02</f>
        <v>1479.02</v>
      </c>
      <c r="C49" s="5">
        <f>1613.51</f>
        <v>1613.51</v>
      </c>
      <c r="D49" s="5">
        <f>1632.03</f>
        <v>1632.03</v>
      </c>
      <c r="E49" s="5">
        <f>1784.39</f>
        <v>1784.39</v>
      </c>
      <c r="F49" s="5">
        <f>1433.46</f>
        <v>1433.46</v>
      </c>
      <c r="G49" s="5">
        <f>1613.39</f>
        <v>1613.39</v>
      </c>
      <c r="H49" s="12">
        <f>2057.12</f>
        <v>2057.12</v>
      </c>
      <c r="I49" s="5">
        <f t="shared" si="7"/>
        <v>11612.92</v>
      </c>
    </row>
    <row r="50" spans="1:9">
      <c r="A50" s="3" t="s">
        <v>124</v>
      </c>
      <c r="B50" s="4"/>
      <c r="C50" s="5">
        <f>50</f>
        <v>50</v>
      </c>
      <c r="D50" s="4"/>
      <c r="E50" s="4"/>
      <c r="F50" s="4"/>
      <c r="G50" s="4"/>
      <c r="H50" s="14"/>
      <c r="I50" s="5">
        <f t="shared" si="7"/>
        <v>50</v>
      </c>
    </row>
    <row r="51" spans="1:9">
      <c r="A51" s="3" t="s">
        <v>123</v>
      </c>
      <c r="B51" s="6">
        <f t="shared" ref="B51:H51" si="11">((((B46)+(B47))+(B48))+(B49))+(B50)</f>
        <v>3047.92</v>
      </c>
      <c r="C51" s="6">
        <f t="shared" si="11"/>
        <v>2152.45</v>
      </c>
      <c r="D51" s="6">
        <f t="shared" si="11"/>
        <v>3337.11</v>
      </c>
      <c r="E51" s="6">
        <f t="shared" si="11"/>
        <v>4075.96</v>
      </c>
      <c r="F51" s="6">
        <f t="shared" si="11"/>
        <v>1694.87</v>
      </c>
      <c r="G51" s="6">
        <f t="shared" si="11"/>
        <v>2676.44</v>
      </c>
      <c r="H51" s="6">
        <f t="shared" si="11"/>
        <v>2416.53</v>
      </c>
      <c r="I51" s="6">
        <f t="shared" si="7"/>
        <v>19401.28</v>
      </c>
    </row>
    <row r="52" spans="1:9">
      <c r="A52" s="3" t="s">
        <v>122</v>
      </c>
      <c r="B52" s="4"/>
      <c r="C52" s="4"/>
      <c r="D52" s="4"/>
      <c r="E52" s="4"/>
      <c r="F52" s="4"/>
      <c r="G52" s="4"/>
      <c r="H52" s="4"/>
      <c r="I52" s="5">
        <f t="shared" si="7"/>
        <v>0</v>
      </c>
    </row>
    <row r="53" spans="1:9">
      <c r="A53" s="3" t="s">
        <v>121</v>
      </c>
      <c r="B53" s="5">
        <f>302.32</f>
        <v>302.32</v>
      </c>
      <c r="C53" s="5">
        <f>1915.38</f>
        <v>1915.38</v>
      </c>
      <c r="D53" s="5">
        <f>448.63</f>
        <v>448.63</v>
      </c>
      <c r="E53" s="5">
        <f>364.6</f>
        <v>364.6</v>
      </c>
      <c r="F53" s="5">
        <f>140.17</f>
        <v>140.17</v>
      </c>
      <c r="G53" s="5">
        <f>410.51</f>
        <v>410.51</v>
      </c>
      <c r="H53" s="12">
        <f>293.76</f>
        <v>293.76</v>
      </c>
      <c r="I53" s="5">
        <f t="shared" si="7"/>
        <v>3875.37</v>
      </c>
    </row>
    <row r="54" spans="1:9">
      <c r="A54" s="3" t="s">
        <v>120</v>
      </c>
      <c r="B54" s="5">
        <f>5673.57</f>
        <v>5673.57</v>
      </c>
      <c r="C54" s="5">
        <f>240</f>
        <v>240</v>
      </c>
      <c r="D54" s="5">
        <f>382.96</f>
        <v>382.96</v>
      </c>
      <c r="E54" s="4"/>
      <c r="F54" s="4"/>
      <c r="G54" s="5">
        <f>810.96</f>
        <v>810.96</v>
      </c>
      <c r="H54" s="13">
        <f>0</f>
        <v>0</v>
      </c>
      <c r="I54" s="5">
        <f t="shared" si="7"/>
        <v>7107.49</v>
      </c>
    </row>
    <row r="55" spans="1:9">
      <c r="A55" s="3" t="s">
        <v>119</v>
      </c>
      <c r="B55" s="4"/>
      <c r="C55" s="5">
        <f>5307.72</f>
        <v>5307.72</v>
      </c>
      <c r="D55" s="5">
        <f>266.47</f>
        <v>266.47</v>
      </c>
      <c r="E55" s="4"/>
      <c r="F55" s="4"/>
      <c r="G55" s="4"/>
      <c r="H55" s="4"/>
      <c r="I55" s="5">
        <f t="shared" si="7"/>
        <v>5574.19</v>
      </c>
    </row>
    <row r="56" spans="1:9">
      <c r="A56" s="3" t="s">
        <v>118</v>
      </c>
      <c r="B56" s="5">
        <f>160.25</f>
        <v>160.25</v>
      </c>
      <c r="C56" s="5">
        <f>237.54</f>
        <v>237.54</v>
      </c>
      <c r="D56" s="5">
        <f>9.99</f>
        <v>9.99</v>
      </c>
      <c r="E56" s="5">
        <f>604.8</f>
        <v>604.8</v>
      </c>
      <c r="F56" s="5"/>
      <c r="G56" s="5">
        <f>1242.37</f>
        <v>1242.37</v>
      </c>
      <c r="H56" s="12">
        <f>-23.91</f>
        <v>-23.91</v>
      </c>
      <c r="I56" s="5">
        <f t="shared" si="7"/>
        <v>2231.04</v>
      </c>
    </row>
    <row r="57" spans="1:9">
      <c r="A57" s="3" t="s">
        <v>117</v>
      </c>
      <c r="B57" s="6">
        <f t="shared" ref="B57:H57" si="12">((((B52)+(B53))+(B54))+(B55))+(B56)</f>
        <v>6136.14</v>
      </c>
      <c r="C57" s="6">
        <f t="shared" si="12"/>
        <v>7700.64</v>
      </c>
      <c r="D57" s="6">
        <f t="shared" si="12"/>
        <v>1108.05</v>
      </c>
      <c r="E57" s="6">
        <f t="shared" si="12"/>
        <v>969.4</v>
      </c>
      <c r="F57" s="6">
        <f t="shared" si="12"/>
        <v>140.17</v>
      </c>
      <c r="G57" s="6">
        <f t="shared" si="12"/>
        <v>2463.84</v>
      </c>
      <c r="H57" s="6">
        <f t="shared" si="12"/>
        <v>269.85</v>
      </c>
      <c r="I57" s="6">
        <f t="shared" si="7"/>
        <v>18788.09</v>
      </c>
    </row>
    <row r="58" spans="1:9">
      <c r="A58" s="3" t="s">
        <v>116</v>
      </c>
      <c r="B58" s="4"/>
      <c r="C58" s="4"/>
      <c r="D58" s="4"/>
      <c r="E58" s="4"/>
      <c r="F58" s="4"/>
      <c r="G58" s="4"/>
      <c r="H58" s="4"/>
      <c r="I58" s="5">
        <f t="shared" si="7"/>
        <v>0</v>
      </c>
    </row>
    <row r="59" spans="1:9">
      <c r="A59" s="3" t="s">
        <v>115</v>
      </c>
      <c r="B59" s="4"/>
      <c r="C59" s="4"/>
      <c r="D59" s="4"/>
      <c r="E59" s="5">
        <f>48.65</f>
        <v>48.65</v>
      </c>
      <c r="F59" s="4"/>
      <c r="G59" s="5">
        <f>93.38</f>
        <v>93.38</v>
      </c>
      <c r="H59" s="12">
        <f>57.18</f>
        <v>57.18</v>
      </c>
      <c r="I59" s="5">
        <f t="shared" si="7"/>
        <v>199.21</v>
      </c>
    </row>
    <row r="60" spans="1:9">
      <c r="A60" s="3" t="s">
        <v>114</v>
      </c>
      <c r="B60" s="4"/>
      <c r="C60" s="4"/>
      <c r="D60" s="4"/>
      <c r="E60" s="5">
        <f>51.63</f>
        <v>51.63</v>
      </c>
      <c r="F60" s="4"/>
      <c r="G60" s="5">
        <f>135.58</f>
        <v>135.58</v>
      </c>
      <c r="H60" s="14"/>
      <c r="I60" s="5">
        <f t="shared" si="7"/>
        <v>187.21</v>
      </c>
    </row>
    <row r="61" spans="1:9">
      <c r="A61" s="3" t="s">
        <v>113</v>
      </c>
      <c r="B61" s="4"/>
      <c r="C61" s="4"/>
      <c r="D61" s="4"/>
      <c r="E61" s="4"/>
      <c r="F61" s="4"/>
      <c r="G61" s="5">
        <f>4516</f>
        <v>4516</v>
      </c>
      <c r="H61" s="12">
        <f>500</f>
        <v>500</v>
      </c>
      <c r="I61" s="5">
        <f t="shared" si="7"/>
        <v>5016</v>
      </c>
    </row>
    <row r="62" spans="1:9">
      <c r="A62" s="3" t="s">
        <v>112</v>
      </c>
      <c r="B62" s="6">
        <f t="shared" ref="B62:H62" si="13">(((B58)+(B59))+(B60))+(B61)</f>
        <v>0</v>
      </c>
      <c r="C62" s="6">
        <f t="shared" si="13"/>
        <v>0</v>
      </c>
      <c r="D62" s="6">
        <f t="shared" si="13"/>
        <v>0</v>
      </c>
      <c r="E62" s="6">
        <f t="shared" si="13"/>
        <v>100.28</v>
      </c>
      <c r="F62" s="6">
        <f t="shared" si="13"/>
        <v>0</v>
      </c>
      <c r="G62" s="6">
        <f t="shared" si="13"/>
        <v>4744.96</v>
      </c>
      <c r="H62" s="6">
        <f t="shared" si="13"/>
        <v>557.18</v>
      </c>
      <c r="I62" s="6">
        <f t="shared" si="7"/>
        <v>5402.42</v>
      </c>
    </row>
    <row r="63" spans="1:9">
      <c r="A63" s="3" t="s">
        <v>111</v>
      </c>
      <c r="B63" s="4"/>
      <c r="C63" s="4"/>
      <c r="D63" s="4"/>
      <c r="E63" s="4"/>
      <c r="F63" s="4"/>
      <c r="G63" s="4"/>
      <c r="H63" s="4"/>
      <c r="I63" s="5">
        <f t="shared" si="7"/>
        <v>0</v>
      </c>
    </row>
    <row r="64" spans="1:9">
      <c r="A64" s="3" t="s">
        <v>110</v>
      </c>
      <c r="B64" s="5">
        <f>4000</f>
        <v>4000</v>
      </c>
      <c r="C64" s="5">
        <f>4250</f>
        <v>4250</v>
      </c>
      <c r="D64" s="5">
        <f>4500</f>
        <v>4500</v>
      </c>
      <c r="E64" s="5">
        <f>3500</f>
        <v>3500</v>
      </c>
      <c r="F64" s="5">
        <f>4172.5</f>
        <v>4172.5</v>
      </c>
      <c r="G64" s="5">
        <f>4000</f>
        <v>4000</v>
      </c>
      <c r="H64" s="5">
        <f>4000</f>
        <v>4000</v>
      </c>
      <c r="I64" s="5">
        <f t="shared" si="7"/>
        <v>28422.5</v>
      </c>
    </row>
    <row r="65" spans="1:9">
      <c r="A65" s="3" t="s">
        <v>109</v>
      </c>
      <c r="B65" s="5">
        <f>210.96</f>
        <v>210.96</v>
      </c>
      <c r="C65" s="5">
        <f>100</f>
        <v>100</v>
      </c>
      <c r="D65" s="5">
        <f>100</f>
        <v>100</v>
      </c>
      <c r="E65" s="5">
        <f>100</f>
        <v>100</v>
      </c>
      <c r="F65" s="5">
        <f>100</f>
        <v>100</v>
      </c>
      <c r="G65" s="5">
        <f>100</f>
        <v>100</v>
      </c>
      <c r="H65" s="12">
        <f>100</f>
        <v>100</v>
      </c>
      <c r="I65" s="5">
        <f t="shared" si="7"/>
        <v>810.96</v>
      </c>
    </row>
    <row r="66" spans="1:9">
      <c r="A66" s="3" t="s">
        <v>108</v>
      </c>
      <c r="B66" s="5">
        <f>210.19</f>
        <v>210.19</v>
      </c>
      <c r="C66" s="5">
        <f>321.15</f>
        <v>321.15</v>
      </c>
      <c r="D66" s="5">
        <f>321.15</f>
        <v>321.15</v>
      </c>
      <c r="E66" s="5">
        <f>330.32</f>
        <v>330.32</v>
      </c>
      <c r="F66" s="5">
        <f>312.24</f>
        <v>312.24</v>
      </c>
      <c r="G66" s="5">
        <f>316.72</f>
        <v>316.72</v>
      </c>
      <c r="H66" s="12">
        <f>324.73</f>
        <v>324.73</v>
      </c>
      <c r="I66" s="5">
        <f t="shared" si="7"/>
        <v>2136.5</v>
      </c>
    </row>
    <row r="67" spans="1:9">
      <c r="A67" s="3" t="s">
        <v>107</v>
      </c>
      <c r="B67" s="6">
        <f t="shared" ref="B67:H67" si="14">(((B63)+(B64))+(B65))+(B66)</f>
        <v>4421.15</v>
      </c>
      <c r="C67" s="6">
        <f t="shared" si="14"/>
        <v>4671.15</v>
      </c>
      <c r="D67" s="6">
        <f t="shared" si="14"/>
        <v>4921.15</v>
      </c>
      <c r="E67" s="6">
        <f t="shared" si="14"/>
        <v>3930.32</v>
      </c>
      <c r="F67" s="6">
        <f t="shared" si="14"/>
        <v>4584.74</v>
      </c>
      <c r="G67" s="6">
        <f t="shared" si="14"/>
        <v>4416.72</v>
      </c>
      <c r="H67" s="6">
        <f t="shared" si="14"/>
        <v>4424.73</v>
      </c>
      <c r="I67" s="6">
        <f t="shared" si="7"/>
        <v>31369.96</v>
      </c>
    </row>
    <row r="68" spans="1:9">
      <c r="A68" s="3" t="s">
        <v>106</v>
      </c>
      <c r="B68" s="4"/>
      <c r="C68" s="4"/>
      <c r="D68" s="4"/>
      <c r="E68" s="4"/>
      <c r="F68" s="4"/>
      <c r="G68" s="4"/>
      <c r="H68" s="4"/>
      <c r="I68" s="5">
        <f t="shared" si="7"/>
        <v>0</v>
      </c>
    </row>
    <row r="69" spans="1:9">
      <c r="A69" s="3" t="s">
        <v>105</v>
      </c>
      <c r="B69" s="5">
        <f>106.85</f>
        <v>106.85</v>
      </c>
      <c r="C69" s="4"/>
      <c r="D69" s="5">
        <f>-106.85</f>
        <v>-106.85</v>
      </c>
      <c r="E69" s="5">
        <f>0</f>
        <v>0</v>
      </c>
      <c r="F69" s="4"/>
      <c r="G69" s="4"/>
      <c r="H69" s="5">
        <f>0</f>
        <v>0</v>
      </c>
      <c r="I69" s="5">
        <f t="shared" si="7"/>
        <v>0</v>
      </c>
    </row>
    <row r="70" spans="1:9">
      <c r="A70" s="3" t="s">
        <v>104</v>
      </c>
      <c r="B70" s="6">
        <f t="shared" ref="B70:H70" si="15">(B68)+(B69)</f>
        <v>106.85</v>
      </c>
      <c r="C70" s="6">
        <f t="shared" si="15"/>
        <v>0</v>
      </c>
      <c r="D70" s="6">
        <f t="shared" si="15"/>
        <v>-106.85</v>
      </c>
      <c r="E70" s="6">
        <f t="shared" si="15"/>
        <v>0</v>
      </c>
      <c r="F70" s="6">
        <f t="shared" si="15"/>
        <v>0</v>
      </c>
      <c r="G70" s="6">
        <f t="shared" si="15"/>
        <v>0</v>
      </c>
      <c r="H70" s="6">
        <f t="shared" si="15"/>
        <v>0</v>
      </c>
      <c r="I70" s="6">
        <f t="shared" si="7"/>
        <v>0</v>
      </c>
    </row>
    <row r="71" spans="1:9">
      <c r="A71" s="3" t="s">
        <v>103</v>
      </c>
      <c r="B71" s="4"/>
      <c r="C71" s="4"/>
      <c r="D71" s="4"/>
      <c r="E71" s="4"/>
      <c r="F71" s="4"/>
      <c r="G71" s="4"/>
      <c r="H71" s="4"/>
      <c r="I71" s="5">
        <f t="shared" si="7"/>
        <v>0</v>
      </c>
    </row>
    <row r="72" spans="1:9">
      <c r="A72" s="3" t="s">
        <v>102</v>
      </c>
      <c r="B72" s="5">
        <f t="shared" ref="B72:H72" si="16">62.83</f>
        <v>62.83</v>
      </c>
      <c r="C72" s="5">
        <f t="shared" si="16"/>
        <v>62.83</v>
      </c>
      <c r="D72" s="5">
        <f t="shared" si="16"/>
        <v>62.83</v>
      </c>
      <c r="E72" s="5">
        <f t="shared" si="16"/>
        <v>62.83</v>
      </c>
      <c r="F72" s="5">
        <f t="shared" si="16"/>
        <v>62.83</v>
      </c>
      <c r="G72" s="5">
        <f t="shared" si="16"/>
        <v>62.83</v>
      </c>
      <c r="H72" s="5">
        <f t="shared" si="16"/>
        <v>62.83</v>
      </c>
      <c r="I72" s="5">
        <f t="shared" si="7"/>
        <v>439.81</v>
      </c>
    </row>
    <row r="73" spans="1:9">
      <c r="A73" s="3" t="s">
        <v>101</v>
      </c>
      <c r="B73" s="5">
        <f t="shared" ref="B73:H73" si="17">144.97</f>
        <v>144.97</v>
      </c>
      <c r="C73" s="5">
        <f t="shared" si="17"/>
        <v>144.97</v>
      </c>
      <c r="D73" s="5">
        <f t="shared" si="17"/>
        <v>144.97</v>
      </c>
      <c r="E73" s="5">
        <f t="shared" si="17"/>
        <v>144.97</v>
      </c>
      <c r="F73" s="5">
        <f t="shared" si="17"/>
        <v>144.97</v>
      </c>
      <c r="G73" s="5">
        <f t="shared" si="17"/>
        <v>144.97</v>
      </c>
      <c r="H73" s="5">
        <f t="shared" si="17"/>
        <v>144.97</v>
      </c>
      <c r="I73" s="5">
        <f t="shared" si="7"/>
        <v>1014.79</v>
      </c>
    </row>
    <row r="74" spans="1:9">
      <c r="A74" s="3" t="s">
        <v>100</v>
      </c>
      <c r="B74" s="5">
        <f>195.12</f>
        <v>195.12</v>
      </c>
      <c r="C74" s="5">
        <f>195.12</f>
        <v>195.12</v>
      </c>
      <c r="D74" s="5">
        <f>195.12</f>
        <v>195.12</v>
      </c>
      <c r="E74" s="5">
        <f>195.12</f>
        <v>195.12</v>
      </c>
      <c r="F74" s="5">
        <f>195.12</f>
        <v>195.12</v>
      </c>
      <c r="G74" s="5">
        <f>193.17</f>
        <v>193.17</v>
      </c>
      <c r="H74" s="5">
        <f>193.17</f>
        <v>193.17</v>
      </c>
      <c r="I74" s="5">
        <f t="shared" si="7"/>
        <v>1361.94</v>
      </c>
    </row>
    <row r="75" spans="1:9">
      <c r="A75" s="3" t="s">
        <v>99</v>
      </c>
      <c r="B75" s="5">
        <f t="shared" ref="B75:G75" si="18">3407.74</f>
        <v>3407.74</v>
      </c>
      <c r="C75" s="5">
        <f t="shared" si="18"/>
        <v>3407.74</v>
      </c>
      <c r="D75" s="5">
        <f t="shared" si="18"/>
        <v>3407.74</v>
      </c>
      <c r="E75" s="5">
        <f t="shared" si="18"/>
        <v>3407.74</v>
      </c>
      <c r="F75" s="5">
        <f t="shared" si="18"/>
        <v>3407.74</v>
      </c>
      <c r="G75" s="5">
        <f t="shared" si="18"/>
        <v>3407.74</v>
      </c>
      <c r="H75" s="12">
        <f>2657.16</f>
        <v>2657.16</v>
      </c>
      <c r="I75" s="5">
        <f t="shared" si="7"/>
        <v>23103.6</v>
      </c>
    </row>
    <row r="76" spans="1:9">
      <c r="A76" s="3" t="s">
        <v>98</v>
      </c>
      <c r="B76" s="5">
        <f t="shared" ref="B76:G76" si="19">58.53</f>
        <v>58.53</v>
      </c>
      <c r="C76" s="5">
        <f t="shared" si="19"/>
        <v>58.53</v>
      </c>
      <c r="D76" s="5">
        <f t="shared" si="19"/>
        <v>58.53</v>
      </c>
      <c r="E76" s="5">
        <f t="shared" si="19"/>
        <v>58.53</v>
      </c>
      <c r="F76" s="5">
        <f t="shared" si="19"/>
        <v>58.53</v>
      </c>
      <c r="G76" s="5">
        <f t="shared" si="19"/>
        <v>58.53</v>
      </c>
      <c r="H76" s="5">
        <f>60.33</f>
        <v>60.33</v>
      </c>
      <c r="I76" s="5">
        <f t="shared" si="7"/>
        <v>411.51</v>
      </c>
    </row>
    <row r="77" spans="1:9">
      <c r="A77" s="3" t="s">
        <v>97</v>
      </c>
      <c r="B77" s="5">
        <f>208.5</f>
        <v>208.5</v>
      </c>
      <c r="C77" s="5">
        <f>1584.5</f>
        <v>1584.5</v>
      </c>
      <c r="D77" s="5">
        <f>208.5</f>
        <v>208.5</v>
      </c>
      <c r="E77" s="5">
        <f>208.5</f>
        <v>208.5</v>
      </c>
      <c r="F77" s="5">
        <f>208.5</f>
        <v>208.5</v>
      </c>
      <c r="G77" s="5">
        <f>208.5</f>
        <v>208.5</v>
      </c>
      <c r="H77" s="12">
        <f>208.5</f>
        <v>208.5</v>
      </c>
      <c r="I77" s="5">
        <f t="shared" si="7"/>
        <v>2835.5</v>
      </c>
    </row>
    <row r="78" spans="1:9">
      <c r="A78" s="3" t="s">
        <v>96</v>
      </c>
      <c r="B78" s="6">
        <f t="shared" ref="B78:H78" si="20">((((((B71)+(B72))+(B73))+(B74))+(B75))+(B76))+(B77)</f>
        <v>4077.69</v>
      </c>
      <c r="C78" s="6">
        <f t="shared" si="20"/>
        <v>5453.69</v>
      </c>
      <c r="D78" s="6">
        <f t="shared" si="20"/>
        <v>4077.69</v>
      </c>
      <c r="E78" s="6">
        <f t="shared" si="20"/>
        <v>4077.69</v>
      </c>
      <c r="F78" s="6">
        <f t="shared" si="20"/>
        <v>4077.69</v>
      </c>
      <c r="G78" s="6">
        <f t="shared" si="20"/>
        <v>4075.74</v>
      </c>
      <c r="H78" s="6">
        <f t="shared" si="20"/>
        <v>3326.96</v>
      </c>
      <c r="I78" s="6">
        <f t="shared" si="7"/>
        <v>29167.15</v>
      </c>
    </row>
    <row r="79" spans="1:9">
      <c r="A79" s="3" t="s">
        <v>95</v>
      </c>
      <c r="B79" s="4"/>
      <c r="C79" s="4"/>
      <c r="D79" s="4"/>
      <c r="E79" s="4"/>
      <c r="F79" s="4"/>
      <c r="G79" s="4"/>
      <c r="H79" s="4"/>
      <c r="I79" s="5">
        <f t="shared" si="7"/>
        <v>0</v>
      </c>
    </row>
    <row r="80" spans="1:9">
      <c r="A80" s="3" t="s">
        <v>94</v>
      </c>
      <c r="B80" s="4"/>
      <c r="C80" s="5">
        <f>375</f>
        <v>375</v>
      </c>
      <c r="D80" s="5">
        <f>-375</f>
        <v>-375</v>
      </c>
      <c r="E80" s="4"/>
      <c r="F80" s="4"/>
      <c r="G80" s="5">
        <f>895</f>
        <v>895</v>
      </c>
      <c r="H80" s="12">
        <f>189</f>
        <v>189</v>
      </c>
      <c r="I80" s="5">
        <f t="shared" si="7"/>
        <v>1084</v>
      </c>
    </row>
    <row r="81" spans="1:9">
      <c r="A81" s="3" t="s">
        <v>93</v>
      </c>
      <c r="B81" s="5">
        <f>66.2</f>
        <v>66.2</v>
      </c>
      <c r="C81" s="5">
        <f>161.61</f>
        <v>161.61</v>
      </c>
      <c r="D81" s="5">
        <f>136.5</f>
        <v>136.5</v>
      </c>
      <c r="E81" s="5">
        <f>218.27</f>
        <v>218.27</v>
      </c>
      <c r="F81" s="5">
        <f>368.59</f>
        <v>368.59</v>
      </c>
      <c r="G81" s="5">
        <f>97.2</f>
        <v>97.2</v>
      </c>
      <c r="H81" s="12">
        <f>248.37</f>
        <v>248.37</v>
      </c>
      <c r="I81" s="5">
        <f t="shared" si="7"/>
        <v>1296.74</v>
      </c>
    </row>
    <row r="82" spans="1:9">
      <c r="A82" s="3" t="s">
        <v>92</v>
      </c>
      <c r="B82" s="6">
        <f t="shared" ref="B82:H82" si="21">((B79)+(B80))+(B81)</f>
        <v>66.2</v>
      </c>
      <c r="C82" s="6">
        <f t="shared" si="21"/>
        <v>536.61</v>
      </c>
      <c r="D82" s="6">
        <f t="shared" si="21"/>
        <v>-238.5</v>
      </c>
      <c r="E82" s="6">
        <f t="shared" si="21"/>
        <v>218.27</v>
      </c>
      <c r="F82" s="6">
        <f t="shared" si="21"/>
        <v>368.59</v>
      </c>
      <c r="G82" s="6">
        <f t="shared" si="21"/>
        <v>992.2</v>
      </c>
      <c r="H82" s="6">
        <f t="shared" si="21"/>
        <v>437.37</v>
      </c>
      <c r="I82" s="6">
        <f t="shared" si="7"/>
        <v>2380.74</v>
      </c>
    </row>
    <row r="83" spans="1:9">
      <c r="A83" s="3" t="s">
        <v>91</v>
      </c>
      <c r="B83" s="4"/>
      <c r="C83" s="4"/>
      <c r="D83" s="4"/>
      <c r="E83" s="4"/>
      <c r="F83" s="4"/>
      <c r="G83" s="4"/>
      <c r="H83" s="4"/>
      <c r="I83" s="5">
        <f t="shared" si="7"/>
        <v>0</v>
      </c>
    </row>
    <row r="84" spans="1:9">
      <c r="A84" s="3" t="s">
        <v>90</v>
      </c>
      <c r="B84" s="5">
        <f>2550</f>
        <v>2550</v>
      </c>
      <c r="C84" s="5">
        <f>2550</f>
        <v>2550</v>
      </c>
      <c r="D84" s="5">
        <f>2550</f>
        <v>2550</v>
      </c>
      <c r="E84" s="5">
        <f>2550</f>
        <v>2550</v>
      </c>
      <c r="F84" s="5">
        <f>2550</f>
        <v>2550</v>
      </c>
      <c r="G84" s="5">
        <f>2550</f>
        <v>2550</v>
      </c>
      <c r="H84" s="5">
        <f>2550</f>
        <v>2550</v>
      </c>
      <c r="I84" s="5">
        <f t="shared" si="7"/>
        <v>17850</v>
      </c>
    </row>
    <row r="85" spans="1:9">
      <c r="A85" s="3" t="s">
        <v>89</v>
      </c>
      <c r="B85" s="5">
        <f>119</f>
        <v>119</v>
      </c>
      <c r="C85" s="4"/>
      <c r="D85" s="4"/>
      <c r="E85" s="5">
        <f>3071.67</f>
        <v>3071.67</v>
      </c>
      <c r="F85" s="5">
        <f>3071.67</f>
        <v>3071.67</v>
      </c>
      <c r="G85" s="5">
        <f>3071.67</f>
        <v>3071.67</v>
      </c>
      <c r="H85" s="12">
        <f>3071.67</f>
        <v>3071.67</v>
      </c>
      <c r="I85" s="5">
        <f t="shared" si="7"/>
        <v>12405.68</v>
      </c>
    </row>
    <row r="86" spans="1:9">
      <c r="A86" s="3" t="s">
        <v>88</v>
      </c>
      <c r="B86" s="5">
        <f>39.99</f>
        <v>39.99</v>
      </c>
      <c r="C86" s="5">
        <f>39.99</f>
        <v>39.99</v>
      </c>
      <c r="D86" s="5">
        <f>39.99</f>
        <v>39.99</v>
      </c>
      <c r="E86" s="4"/>
      <c r="F86" s="4"/>
      <c r="G86" s="4"/>
      <c r="H86" s="4"/>
      <c r="I86" s="5">
        <f t="shared" si="7"/>
        <v>119.97</v>
      </c>
    </row>
    <row r="87" spans="1:9">
      <c r="A87" s="3" t="s">
        <v>87</v>
      </c>
      <c r="B87" s="6">
        <f t="shared" ref="B87:H87" si="22">(((B83)+(B84))+(B85))+(B86)</f>
        <v>2708.99</v>
      </c>
      <c r="C87" s="6">
        <f t="shared" si="22"/>
        <v>2589.99</v>
      </c>
      <c r="D87" s="6">
        <f t="shared" si="22"/>
        <v>2589.99</v>
      </c>
      <c r="E87" s="6">
        <f t="shared" si="22"/>
        <v>5621.67</v>
      </c>
      <c r="F87" s="6">
        <f t="shared" si="22"/>
        <v>5621.67</v>
      </c>
      <c r="G87" s="6">
        <f t="shared" si="22"/>
        <v>5621.67</v>
      </c>
      <c r="H87" s="6">
        <f t="shared" si="22"/>
        <v>5621.67</v>
      </c>
      <c r="I87" s="6">
        <f t="shared" si="7"/>
        <v>30375.65</v>
      </c>
    </row>
    <row r="88" spans="1:9">
      <c r="A88" s="3" t="s">
        <v>86</v>
      </c>
      <c r="B88" s="5">
        <f>43.02</f>
        <v>43.02</v>
      </c>
      <c r="C88" s="4"/>
      <c r="D88" s="4"/>
      <c r="E88" s="4"/>
      <c r="F88" s="4"/>
      <c r="G88" s="4"/>
      <c r="H88" s="4"/>
      <c r="I88" s="5">
        <f t="shared" si="7"/>
        <v>43.02</v>
      </c>
    </row>
    <row r="89" spans="1:9">
      <c r="A89" s="3" t="s">
        <v>85</v>
      </c>
      <c r="B89" s="6">
        <f t="shared" ref="B89:H89" si="23">(((((((((((B34)+(B42))+(B45))+(B51))+(B57))+(B62))+(B67))+(B70))+(B78))+(B82))+(B87))+(B88)</f>
        <v>38778.37</v>
      </c>
      <c r="C89" s="6">
        <f t="shared" si="23"/>
        <v>40292.74</v>
      </c>
      <c r="D89" s="6">
        <f t="shared" si="23"/>
        <v>33482.53</v>
      </c>
      <c r="E89" s="6">
        <f t="shared" si="23"/>
        <v>36322.56</v>
      </c>
      <c r="F89" s="6">
        <f t="shared" si="23"/>
        <v>34035.51</v>
      </c>
      <c r="G89" s="6">
        <f t="shared" si="23"/>
        <v>41729.66</v>
      </c>
      <c r="H89" s="6">
        <f t="shared" si="23"/>
        <v>35046.51</v>
      </c>
      <c r="I89" s="6">
        <f t="shared" si="7"/>
        <v>259687.88</v>
      </c>
    </row>
    <row r="90" spans="1:9">
      <c r="A90" s="3" t="s">
        <v>84</v>
      </c>
      <c r="B90" s="6">
        <f t="shared" ref="B90:H90" si="24">(B28)-(B89)</f>
        <v>53090.82</v>
      </c>
      <c r="C90" s="6">
        <f t="shared" si="24"/>
        <v>24503.4</v>
      </c>
      <c r="D90" s="6">
        <f t="shared" si="24"/>
        <v>-3385.8</v>
      </c>
      <c r="E90" s="6">
        <f t="shared" si="24"/>
        <v>-20201.84</v>
      </c>
      <c r="F90" s="6">
        <f t="shared" si="24"/>
        <v>16704.45</v>
      </c>
      <c r="G90" s="6">
        <f t="shared" si="24"/>
        <v>9823.20000000001</v>
      </c>
      <c r="H90" s="6">
        <f t="shared" si="24"/>
        <v>-3445.55999999999</v>
      </c>
      <c r="I90" s="6">
        <f t="shared" si="7"/>
        <v>77088.67</v>
      </c>
    </row>
    <row r="91" spans="1:9">
      <c r="A91" s="3" t="s">
        <v>83</v>
      </c>
      <c r="B91" s="4"/>
      <c r="C91" s="4"/>
      <c r="D91" s="4"/>
      <c r="E91" s="4"/>
      <c r="F91" s="4"/>
      <c r="G91" s="4"/>
      <c r="H91" s="4"/>
      <c r="I91" s="4"/>
    </row>
    <row r="92" spans="1:9">
      <c r="A92" s="3" t="s">
        <v>82</v>
      </c>
      <c r="B92" s="4"/>
      <c r="C92" s="4"/>
      <c r="D92" s="4"/>
      <c r="E92" s="4"/>
      <c r="F92" s="4"/>
      <c r="G92" s="4"/>
      <c r="H92" s="4"/>
      <c r="I92" s="5">
        <f>((((((B92)+(C92))+(D92))+(E92))+(F92))+(G92))+(H92)</f>
        <v>0</v>
      </c>
    </row>
    <row r="93" spans="1:9">
      <c r="A93" s="3" t="s">
        <v>81</v>
      </c>
      <c r="B93" s="5">
        <f>1</f>
        <v>1</v>
      </c>
      <c r="C93" s="5">
        <f>1</f>
        <v>1</v>
      </c>
      <c r="D93" s="5">
        <f>361</f>
        <v>361</v>
      </c>
      <c r="E93" s="4"/>
      <c r="F93" s="4"/>
      <c r="G93" s="4"/>
      <c r="H93" s="14"/>
      <c r="I93" s="5">
        <f>((((((B93)+(C93))+(D93))+(E93))+(F93))+(G93))+(H93)</f>
        <v>363</v>
      </c>
    </row>
    <row r="94" spans="1:9">
      <c r="A94" s="3" t="s">
        <v>80</v>
      </c>
      <c r="B94" s="4"/>
      <c r="C94" s="4"/>
      <c r="D94" s="4"/>
      <c r="E94" s="4"/>
      <c r="F94" s="4"/>
      <c r="G94" s="4"/>
      <c r="H94" s="5">
        <f>19715.8</f>
        <v>19715.8</v>
      </c>
      <c r="I94" s="5">
        <f>((((((B94)+(C94))+(D94))+(E94))+(F94))+(G94))+(H94)</f>
        <v>19715.8</v>
      </c>
    </row>
    <row r="95" spans="1:9">
      <c r="A95" s="3" t="s">
        <v>79</v>
      </c>
      <c r="B95" s="6">
        <f t="shared" ref="B95:H95" si="25">((B92)+(B93))+(B94)</f>
        <v>1</v>
      </c>
      <c r="C95" s="6">
        <f t="shared" si="25"/>
        <v>1</v>
      </c>
      <c r="D95" s="6">
        <f t="shared" si="25"/>
        <v>361</v>
      </c>
      <c r="E95" s="6">
        <f t="shared" si="25"/>
        <v>0</v>
      </c>
      <c r="F95" s="6">
        <f t="shared" si="25"/>
        <v>0</v>
      </c>
      <c r="G95" s="6">
        <f t="shared" si="25"/>
        <v>0</v>
      </c>
      <c r="H95" s="6">
        <f t="shared" si="25"/>
        <v>19715.8</v>
      </c>
      <c r="I95" s="6">
        <f>((((((B95)+(C95))+(D95))+(E95))+(F95))+(G95))+(H95)</f>
        <v>20078.8</v>
      </c>
    </row>
    <row r="96" spans="1:9">
      <c r="A96" s="3" t="s">
        <v>78</v>
      </c>
      <c r="B96" s="6">
        <f t="shared" ref="B96:H96" si="26">B95</f>
        <v>1</v>
      </c>
      <c r="C96" s="6">
        <f t="shared" si="26"/>
        <v>1</v>
      </c>
      <c r="D96" s="6">
        <f t="shared" si="26"/>
        <v>361</v>
      </c>
      <c r="E96" s="6">
        <f t="shared" si="26"/>
        <v>0</v>
      </c>
      <c r="F96" s="6">
        <f t="shared" si="26"/>
        <v>0</v>
      </c>
      <c r="G96" s="6">
        <f t="shared" si="26"/>
        <v>0</v>
      </c>
      <c r="H96" s="6">
        <f t="shared" si="26"/>
        <v>19715.8</v>
      </c>
      <c r="I96" s="6">
        <f>((((((B96)+(C96))+(D96))+(E96))+(F96))+(G96))+(H96)</f>
        <v>20078.8</v>
      </c>
    </row>
    <row r="97" spans="1:9">
      <c r="A97" s="3" t="s">
        <v>77</v>
      </c>
      <c r="B97" s="4"/>
      <c r="C97" s="4"/>
      <c r="D97" s="4"/>
      <c r="E97" s="4"/>
      <c r="F97" s="4"/>
      <c r="G97" s="4"/>
      <c r="H97" s="4"/>
      <c r="I97" s="4"/>
    </row>
    <row r="98" spans="1:9">
      <c r="A98" s="3" t="s">
        <v>76</v>
      </c>
      <c r="B98" s="4"/>
      <c r="C98" s="4"/>
      <c r="D98" s="4"/>
      <c r="E98" s="4"/>
      <c r="F98" s="4"/>
      <c r="G98" s="4"/>
      <c r="H98" s="4"/>
      <c r="I98" s="5">
        <f t="shared" ref="I98:I104" si="27">((((((B98)+(C98))+(D98))+(E98))+(F98))+(G98))+(H98)</f>
        <v>0</v>
      </c>
    </row>
    <row r="99" spans="1:9">
      <c r="A99" s="3" t="s">
        <v>75</v>
      </c>
      <c r="B99" s="5">
        <f>238.72</f>
        <v>238.72</v>
      </c>
      <c r="C99" s="5">
        <f>238.72</f>
        <v>238.72</v>
      </c>
      <c r="D99" s="5">
        <f>238.72</f>
        <v>238.72</v>
      </c>
      <c r="E99" s="5">
        <f>238.72</f>
        <v>238.72</v>
      </c>
      <c r="F99" s="5">
        <f>551.69</f>
        <v>551.69</v>
      </c>
      <c r="G99" s="5">
        <f>551.69</f>
        <v>551.69</v>
      </c>
      <c r="H99" s="12">
        <f>1378.82</f>
        <v>1378.82</v>
      </c>
      <c r="I99" s="5">
        <f t="shared" si="27"/>
        <v>3437.08</v>
      </c>
    </row>
    <row r="100" spans="1:9">
      <c r="A100" s="3" t="s">
        <v>74</v>
      </c>
      <c r="B100" s="4"/>
      <c r="C100" s="4"/>
      <c r="D100" s="4"/>
      <c r="E100" s="5">
        <f>146.84</f>
        <v>146.84</v>
      </c>
      <c r="F100" s="5">
        <f>10.83</f>
        <v>10.83</v>
      </c>
      <c r="G100" s="4"/>
      <c r="H100" s="12">
        <f>2.62</f>
        <v>2.62</v>
      </c>
      <c r="I100" s="5">
        <f t="shared" si="27"/>
        <v>160.29</v>
      </c>
    </row>
    <row r="101" spans="1:9">
      <c r="A101" s="3" t="s">
        <v>73</v>
      </c>
      <c r="B101" s="6">
        <f t="shared" ref="B101:H101" si="28">((B98)+(B99))+(B100)</f>
        <v>238.72</v>
      </c>
      <c r="C101" s="6">
        <f t="shared" si="28"/>
        <v>238.72</v>
      </c>
      <c r="D101" s="6">
        <f t="shared" si="28"/>
        <v>238.72</v>
      </c>
      <c r="E101" s="6">
        <f t="shared" si="28"/>
        <v>385.56</v>
      </c>
      <c r="F101" s="6">
        <f t="shared" si="28"/>
        <v>562.52</v>
      </c>
      <c r="G101" s="6">
        <f t="shared" si="28"/>
        <v>551.69</v>
      </c>
      <c r="H101" s="6">
        <f t="shared" si="28"/>
        <v>1381.44</v>
      </c>
      <c r="I101" s="6">
        <f t="shared" si="27"/>
        <v>3597.37</v>
      </c>
    </row>
    <row r="102" spans="1:9">
      <c r="A102" s="3" t="s">
        <v>72</v>
      </c>
      <c r="B102" s="6">
        <f t="shared" ref="B102:H102" si="29">B101</f>
        <v>238.72</v>
      </c>
      <c r="C102" s="6">
        <f t="shared" si="29"/>
        <v>238.72</v>
      </c>
      <c r="D102" s="6">
        <f t="shared" si="29"/>
        <v>238.72</v>
      </c>
      <c r="E102" s="6">
        <f t="shared" si="29"/>
        <v>385.56</v>
      </c>
      <c r="F102" s="6">
        <f t="shared" si="29"/>
        <v>562.52</v>
      </c>
      <c r="G102" s="6">
        <f t="shared" si="29"/>
        <v>551.69</v>
      </c>
      <c r="H102" s="6">
        <f t="shared" si="29"/>
        <v>1381.44</v>
      </c>
      <c r="I102" s="6">
        <f t="shared" si="27"/>
        <v>3597.37</v>
      </c>
    </row>
    <row r="103" spans="1:9">
      <c r="A103" s="3" t="s">
        <v>71</v>
      </c>
      <c r="B103" s="6">
        <f t="shared" ref="B103:H103" si="30">(B96)-(B102)</f>
        <v>-237.72</v>
      </c>
      <c r="C103" s="6">
        <f t="shared" si="30"/>
        <v>-237.72</v>
      </c>
      <c r="D103" s="6">
        <f t="shared" si="30"/>
        <v>122.28</v>
      </c>
      <c r="E103" s="6">
        <f t="shared" si="30"/>
        <v>-385.56</v>
      </c>
      <c r="F103" s="6">
        <f t="shared" si="30"/>
        <v>-562.52</v>
      </c>
      <c r="G103" s="6">
        <f t="shared" si="30"/>
        <v>-551.69</v>
      </c>
      <c r="H103" s="6">
        <f t="shared" si="30"/>
        <v>18334.36</v>
      </c>
      <c r="I103" s="6">
        <f t="shared" si="27"/>
        <v>16481.43</v>
      </c>
    </row>
    <row r="104" spans="1:9">
      <c r="A104" s="3" t="s">
        <v>70</v>
      </c>
      <c r="B104" s="6">
        <f t="shared" ref="B104:H104" si="31">(B90)+(B103)</f>
        <v>52853.1</v>
      </c>
      <c r="C104" s="6">
        <f t="shared" si="31"/>
        <v>24265.68</v>
      </c>
      <c r="D104" s="6">
        <f t="shared" si="31"/>
        <v>-3263.52</v>
      </c>
      <c r="E104" s="6">
        <f t="shared" si="31"/>
        <v>-20587.4</v>
      </c>
      <c r="F104" s="6">
        <f t="shared" si="31"/>
        <v>16141.93</v>
      </c>
      <c r="G104" s="6">
        <f t="shared" si="31"/>
        <v>9271.51000000001</v>
      </c>
      <c r="H104" s="6">
        <f t="shared" si="31"/>
        <v>14888.8</v>
      </c>
      <c r="I104" s="6">
        <f t="shared" si="27"/>
        <v>93570.1</v>
      </c>
    </row>
    <row r="105" spans="1:9">
      <c r="A105" s="3"/>
      <c r="B105" s="4"/>
      <c r="C105" s="4"/>
      <c r="D105" s="4"/>
      <c r="E105" s="4"/>
      <c r="F105" s="4"/>
      <c r="G105" s="4"/>
      <c r="H105" s="4"/>
      <c r="I105" s="4"/>
    </row>
  </sheetData>
  <mergeCells count="3">
    <mergeCell ref="A1:I1"/>
    <mergeCell ref="A2:I2"/>
    <mergeCell ref="A3:I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Balance Sheet</vt:lpstr>
      <vt:lpstr>Profit and 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Nikki Dela Cruz</cp:lastModifiedBy>
  <dcterms:created xsi:type="dcterms:W3CDTF">2026-02-20T00:43:53Z</dcterms:created>
  <dcterms:modified xsi:type="dcterms:W3CDTF">2026-03-13T21:12:11Z</dcterms:modified>
</cp:coreProperties>
</file>