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bookViews>
    <workbookView xWindow="-28920" yWindow="6270" windowWidth="29040" windowHeight="15720" activeTab="1"/>
  </bookViews>
  <sheets>
    <sheet name="Balance Sheet" sheetId="3"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1" i="2" l="true"/>
  <c r="G110" i="2"/>
  <c r="F110" i="2"/>
  <c r="H110" i="2" s="true"/>
  <c r="G109" i="2"/>
  <c r="F109" i="2"/>
  <c r="F111" i="2" s="true"/>
  <c r="E109" i="2"/>
  <c r="E111" i="2" s="true"/>
  <c r="D109" i="2"/>
  <c r="D111" i="2" s="true"/>
  <c r="C109" i="2"/>
  <c r="C111" i="2" s="true"/>
  <c r="B109" i="2"/>
  <c r="B111" i="2" s="true"/>
  <c r="H111" i="2" s="true"/>
  <c r="H108" i="2"/>
  <c r="G108" i="2"/>
  <c r="F108" i="2"/>
  <c r="E108" i="2"/>
  <c r="D108" i="2"/>
  <c r="C108" i="2"/>
  <c r="B108" i="2"/>
  <c r="H107" i="2"/>
  <c r="G104" i="2"/>
  <c r="G105" i="2" s="true"/>
  <c r="G112" i="2" s="true"/>
  <c r="G103" i="2"/>
  <c r="F103" i="2"/>
  <c r="E103" i="2"/>
  <c r="D103" i="2"/>
  <c r="C103" i="2"/>
  <c r="C104" i="2" s="true"/>
  <c r="C105" i="2" s="true"/>
  <c r="C112" i="2" s="true"/>
  <c r="B103" i="2"/>
  <c r="B104" i="2" s="true"/>
  <c r="B105" i="2" s="true"/>
  <c r="F102" i="2"/>
  <c r="F104" i="2" s="true"/>
  <c r="F105" i="2" s="true"/>
  <c r="F112" i="2" s="true"/>
  <c r="E102" i="2"/>
  <c r="E104" i="2" s="true"/>
  <c r="E105" i="2" s="true"/>
  <c r="E112" i="2" s="true"/>
  <c r="D102" i="2"/>
  <c r="C102" i="2"/>
  <c r="H101" i="2"/>
  <c r="G96" i="2"/>
  <c r="F96" i="2"/>
  <c r="E96" i="2"/>
  <c r="D96" i="2"/>
  <c r="C96" i="2"/>
  <c r="B96" i="2"/>
  <c r="H96" i="2" s="true"/>
  <c r="G95" i="2"/>
  <c r="H95" i="2" s="true"/>
  <c r="F95" i="2"/>
  <c r="E95" i="2"/>
  <c r="D95" i="2"/>
  <c r="C95" i="2"/>
  <c r="B95" i="2"/>
  <c r="G94" i="2"/>
  <c r="F94" i="2"/>
  <c r="E94" i="2"/>
  <c r="D94" i="2"/>
  <c r="D97" i="2" s="true"/>
  <c r="C94" i="2"/>
  <c r="C97" i="2" s="true"/>
  <c r="B94" i="2"/>
  <c r="B97" i="2" s="true"/>
  <c r="G93" i="2"/>
  <c r="F93" i="2"/>
  <c r="F97" i="2" s="true"/>
  <c r="E93" i="2"/>
  <c r="D93" i="2"/>
  <c r="C93" i="2"/>
  <c r="B93" i="2"/>
  <c r="H92" i="2"/>
  <c r="D90" i="2"/>
  <c r="C90" i="2"/>
  <c r="H90" i="2" s="true"/>
  <c r="G89" i="2"/>
  <c r="H89" i="2" s="true"/>
  <c r="F89" i="2"/>
  <c r="E89" i="2"/>
  <c r="D89" i="2"/>
  <c r="C89" i="2"/>
  <c r="B89" i="2"/>
  <c r="G88" i="2"/>
  <c r="H88" i="2" s="true"/>
  <c r="G87" i="2"/>
  <c r="F87" i="2"/>
  <c r="E87" i="2"/>
  <c r="E91" i="2" s="true"/>
  <c r="D87" i="2"/>
  <c r="D91" i="2" s="true"/>
  <c r="C87" i="2"/>
  <c r="C91" i="2" s="true"/>
  <c r="B87" i="2"/>
  <c r="B91" i="2" s="true"/>
  <c r="F86" i="2"/>
  <c r="B86" i="2"/>
  <c r="G85" i="2"/>
  <c r="F85" i="2"/>
  <c r="E85" i="2"/>
  <c r="D85" i="2"/>
  <c r="C85" i="2"/>
  <c r="B85" i="2"/>
  <c r="H85" i="2" s="true"/>
  <c r="H84" i="2"/>
  <c r="G83" i="2"/>
  <c r="F83" i="2"/>
  <c r="E83" i="2"/>
  <c r="D83" i="2"/>
  <c r="C83" i="2"/>
  <c r="B83" i="2"/>
  <c r="H83" i="2" s="true"/>
  <c r="G82" i="2"/>
  <c r="F82" i="2"/>
  <c r="E82" i="2"/>
  <c r="D82" i="2"/>
  <c r="C82" i="2"/>
  <c r="B82" i="2"/>
  <c r="H82" i="2" s="true"/>
  <c r="H81" i="2"/>
  <c r="H79" i="2"/>
  <c r="G79" i="2"/>
  <c r="F79" i="2"/>
  <c r="E79" i="2"/>
  <c r="D79" i="2"/>
  <c r="C79" i="2"/>
  <c r="B79" i="2"/>
  <c r="G78" i="2"/>
  <c r="F78" i="2"/>
  <c r="E78" i="2"/>
  <c r="D78" i="2"/>
  <c r="C78" i="2"/>
  <c r="H78" i="2" s="true"/>
  <c r="G77" i="2"/>
  <c r="F77" i="2"/>
  <c r="E77" i="2"/>
  <c r="H77" i="2" s="true"/>
  <c r="D77" i="2"/>
  <c r="C77" i="2"/>
  <c r="B77" i="2"/>
  <c r="G76" i="2"/>
  <c r="F76" i="2"/>
  <c r="E76" i="2"/>
  <c r="D76" i="2"/>
  <c r="C76" i="2"/>
  <c r="B76" i="2"/>
  <c r="H76" i="2" s="true"/>
  <c r="G75" i="2"/>
  <c r="F75" i="2"/>
  <c r="E75" i="2"/>
  <c r="D75" i="2"/>
  <c r="C75" i="2"/>
  <c r="H75" i="2" s="true"/>
  <c r="B75" i="2"/>
  <c r="G74" i="2"/>
  <c r="F74" i="2"/>
  <c r="E74" i="2"/>
  <c r="D74" i="2"/>
  <c r="C74" i="2"/>
  <c r="B74" i="2"/>
  <c r="H74" i="2" s="true"/>
  <c r="G73" i="2"/>
  <c r="G80" i="2" s="true"/>
  <c r="F73" i="2"/>
  <c r="F80" i="2" s="true"/>
  <c r="E73" i="2"/>
  <c r="D73" i="2"/>
  <c r="D80" i="2" s="true"/>
  <c r="C73" i="2"/>
  <c r="B73" i="2"/>
  <c r="H72" i="2"/>
  <c r="G70" i="2"/>
  <c r="F70" i="2"/>
  <c r="E70" i="2"/>
  <c r="D70" i="2"/>
  <c r="C70" i="2"/>
  <c r="B70" i="2"/>
  <c r="H70" i="2" s="true"/>
  <c r="G69" i="2"/>
  <c r="H69" i="2" s="true"/>
  <c r="F69" i="2"/>
  <c r="E69" i="2"/>
  <c r="D69" i="2"/>
  <c r="C69" i="2"/>
  <c r="B69" i="2"/>
  <c r="G68" i="2"/>
  <c r="F68" i="2"/>
  <c r="E68" i="2"/>
  <c r="D68" i="2"/>
  <c r="C68" i="2"/>
  <c r="B68" i="2"/>
  <c r="H68" i="2" s="true"/>
  <c r="G67" i="2"/>
  <c r="F67" i="2"/>
  <c r="E67" i="2"/>
  <c r="H67" i="2" s="true"/>
  <c r="D67" i="2"/>
  <c r="C67" i="2"/>
  <c r="B67" i="2"/>
  <c r="G66" i="2"/>
  <c r="F66" i="2"/>
  <c r="E66" i="2"/>
  <c r="D66" i="2"/>
  <c r="D71" i="2" s="true"/>
  <c r="C66" i="2"/>
  <c r="C71" i="2" s="true"/>
  <c r="B66" i="2"/>
  <c r="H66" i="2" s="true"/>
  <c r="H65" i="2"/>
  <c r="G64" i="2"/>
  <c r="F64" i="2"/>
  <c r="E64" i="2"/>
  <c r="D64" i="2"/>
  <c r="G63" i="2"/>
  <c r="F63" i="2"/>
  <c r="E63" i="2"/>
  <c r="D63" i="2"/>
  <c r="C63" i="2"/>
  <c r="B63" i="2"/>
  <c r="H63" i="2" s="true"/>
  <c r="G62" i="2"/>
  <c r="F62" i="2"/>
  <c r="E62" i="2"/>
  <c r="D62" i="2"/>
  <c r="C62" i="2"/>
  <c r="B62" i="2"/>
  <c r="H62" i="2" s="true"/>
  <c r="G61" i="2"/>
  <c r="F61" i="2"/>
  <c r="E61" i="2"/>
  <c r="D61" i="2"/>
  <c r="C61" i="2"/>
  <c r="C64" i="2" s="true"/>
  <c r="B61" i="2"/>
  <c r="H61" i="2" s="true"/>
  <c r="H60" i="2"/>
  <c r="G59" i="2"/>
  <c r="F59" i="2"/>
  <c r="C59" i="2"/>
  <c r="B59" i="2"/>
  <c r="H58" i="2"/>
  <c r="G58" i="2"/>
  <c r="F58" i="2"/>
  <c r="E58" i="2"/>
  <c r="D58" i="2"/>
  <c r="C58" i="2"/>
  <c r="B58" i="2"/>
  <c r="F57" i="2"/>
  <c r="D57" i="2"/>
  <c r="C57" i="2"/>
  <c r="B57" i="2"/>
  <c r="H57" i="2" s="true"/>
  <c r="C56" i="2"/>
  <c r="H56" i="2" s="true"/>
  <c r="E55" i="2"/>
  <c r="E59" i="2" s="true"/>
  <c r="D55" i="2"/>
  <c r="C55" i="2"/>
  <c r="G54" i="2"/>
  <c r="D54" i="2"/>
  <c r="B54" i="2"/>
  <c r="H54" i="2" s="true"/>
  <c r="G53" i="2"/>
  <c r="E53" i="2"/>
  <c r="C53" i="2"/>
  <c r="H53" i="2" s="true"/>
  <c r="H52" i="2"/>
  <c r="G51" i="2"/>
  <c r="F51" i="2"/>
  <c r="D51" i="2"/>
  <c r="C51" i="2"/>
  <c r="G50" i="2"/>
  <c r="F50" i="2"/>
  <c r="E50" i="2"/>
  <c r="D50" i="2"/>
  <c r="C50" i="2"/>
  <c r="B50" i="2"/>
  <c r="H50" i="2" s="true"/>
  <c r="E49" i="2"/>
  <c r="D49" i="2"/>
  <c r="C49" i="2"/>
  <c r="B49" i="2"/>
  <c r="H49" i="2" s="true"/>
  <c r="E48" i="2"/>
  <c r="E51" i="2" s="true"/>
  <c r="B48" i="2"/>
  <c r="H48" i="2" s="true"/>
  <c r="G47" i="2"/>
  <c r="F47" i="2"/>
  <c r="E47" i="2"/>
  <c r="D47" i="2"/>
  <c r="C47" i="2"/>
  <c r="B47" i="2"/>
  <c r="B51" i="2" s="true"/>
  <c r="H51" i="2" s="true"/>
  <c r="H46" i="2"/>
  <c r="C45" i="2"/>
  <c r="B45" i="2"/>
  <c r="H44" i="2"/>
  <c r="G44" i="2"/>
  <c r="F44" i="2"/>
  <c r="E44" i="2"/>
  <c r="C44" i="2"/>
  <c r="G43" i="2"/>
  <c r="F43" i="2"/>
  <c r="E43" i="2"/>
  <c r="D43" i="2"/>
  <c r="C43" i="2"/>
  <c r="B43" i="2"/>
  <c r="H43" i="2" s="true"/>
  <c r="G42" i="2"/>
  <c r="G45" i="2" s="true"/>
  <c r="F42" i="2"/>
  <c r="F45" i="2" s="true"/>
  <c r="E42" i="2"/>
  <c r="E45" i="2" s="true"/>
  <c r="D42" i="2"/>
  <c r="B42" i="2"/>
  <c r="H41" i="2"/>
  <c r="G39" i="2"/>
  <c r="C39" i="2"/>
  <c r="B39" i="2"/>
  <c r="H39" i="2" s="true"/>
  <c r="G38" i="2"/>
  <c r="F38" i="2"/>
  <c r="H38" i="2" s="true"/>
  <c r="E38" i="2"/>
  <c r="D38" i="2"/>
  <c r="C38" i="2"/>
  <c r="B38" i="2"/>
  <c r="G37" i="2"/>
  <c r="F37" i="2"/>
  <c r="E37" i="2"/>
  <c r="D37" i="2"/>
  <c r="C37" i="2"/>
  <c r="C40" i="2" s="true"/>
  <c r="B37" i="2"/>
  <c r="H37" i="2" s="true"/>
  <c r="G36" i="2"/>
  <c r="F36" i="2"/>
  <c r="E36" i="2"/>
  <c r="E40" i="2" s="true"/>
  <c r="D36" i="2"/>
  <c r="C36" i="2"/>
  <c r="B36" i="2"/>
  <c r="H35" i="2"/>
  <c r="G33" i="2"/>
  <c r="F33" i="2"/>
  <c r="E33" i="2"/>
  <c r="D33" i="2"/>
  <c r="C33" i="2"/>
  <c r="H33" i="2" s="true"/>
  <c r="B33" i="2"/>
  <c r="G32" i="2"/>
  <c r="F32" i="2"/>
  <c r="E32" i="2"/>
  <c r="D32" i="2"/>
  <c r="C32" i="2"/>
  <c r="B32" i="2"/>
  <c r="H32" i="2" s="true"/>
  <c r="G31" i="2"/>
  <c r="F31" i="2"/>
  <c r="H31" i="2" s="true"/>
  <c r="G30" i="2"/>
  <c r="F30" i="2"/>
  <c r="E30" i="2"/>
  <c r="D30" i="2"/>
  <c r="H30" i="2" s="true"/>
  <c r="C30" i="2"/>
  <c r="B30" i="2"/>
  <c r="G29" i="2"/>
  <c r="F29" i="2"/>
  <c r="E29" i="2"/>
  <c r="D29" i="2"/>
  <c r="C29" i="2"/>
  <c r="B29" i="2"/>
  <c r="H29" i="2" s="true"/>
  <c r="G28" i="2"/>
  <c r="G34" i="2" s="true"/>
  <c r="F28" i="2"/>
  <c r="F34" i="2" s="true"/>
  <c r="E28" i="2"/>
  <c r="D28" i="2"/>
  <c r="C28" i="2"/>
  <c r="B28" i="2"/>
  <c r="G27" i="2"/>
  <c r="F27" i="2"/>
  <c r="E27" i="2"/>
  <c r="D27" i="2"/>
  <c r="C27" i="2"/>
  <c r="B27" i="2"/>
  <c r="H27" i="2" s="true"/>
  <c r="H26" i="2"/>
  <c r="C22" i="2"/>
  <c r="C23" i="2" s="true"/>
  <c r="B22" i="2"/>
  <c r="B23" i="2" s="true"/>
  <c r="F21" i="2"/>
  <c r="D21" i="2"/>
  <c r="H21" i="2" s="true"/>
  <c r="E20" i="2"/>
  <c r="B20" i="2"/>
  <c r="H20" i="2" s="true"/>
  <c r="F19" i="2"/>
  <c r="B19" i="2"/>
  <c r="H19" i="2" s="true"/>
  <c r="G18" i="2"/>
  <c r="F18" i="2"/>
  <c r="E18" i="2"/>
  <c r="D18" i="2"/>
  <c r="H18" i="2" s="true"/>
  <c r="G17" i="2"/>
  <c r="G22" i="2" s="true"/>
  <c r="G23" i="2" s="true"/>
  <c r="F17" i="2"/>
  <c r="F22" i="2" s="true"/>
  <c r="F23" i="2" s="true"/>
  <c r="E17" i="2"/>
  <c r="E22" i="2" s="true"/>
  <c r="E23" i="2" s="true"/>
  <c r="D17" i="2"/>
  <c r="C17" i="2"/>
  <c r="B17" i="2"/>
  <c r="H16" i="2"/>
  <c r="G13" i="2"/>
  <c r="G14" i="2" s="true"/>
  <c r="F13" i="2"/>
  <c r="F14" i="2" s="true"/>
  <c r="E13" i="2"/>
  <c r="E14" i="2" s="true"/>
  <c r="E24" i="2" s="true"/>
  <c r="D13" i="2"/>
  <c r="D14" i="2" s="true"/>
  <c r="C13" i="2"/>
  <c r="C14" i="2" s="true"/>
  <c r="C24" i="2" s="true"/>
  <c r="G12" i="2"/>
  <c r="F12" i="2"/>
  <c r="E12" i="2"/>
  <c r="D12" i="2"/>
  <c r="C12" i="2"/>
  <c r="B12" i="2"/>
  <c r="H12" i="2" s="true"/>
  <c r="G11" i="2"/>
  <c r="F11" i="2"/>
  <c r="E11" i="2"/>
  <c r="D11" i="2"/>
  <c r="C11" i="2"/>
  <c r="B11" i="2"/>
  <c r="H11" i="2" s="true"/>
  <c r="H10" i="2"/>
  <c r="G10" i="2"/>
  <c r="F10" i="2"/>
  <c r="E10" i="2"/>
  <c r="D10" i="2"/>
  <c r="C10" i="2"/>
  <c r="B10" i="2"/>
  <c r="B13" i="2" s="true"/>
  <c r="H9" i="2"/>
  <c r="G86" i="3"/>
  <c r="F86" i="3"/>
  <c r="E86" i="3"/>
  <c r="D86" i="3"/>
  <c r="C86" i="3"/>
  <c r="B86" i="3"/>
  <c r="G85" i="3"/>
  <c r="D85" i="3"/>
  <c r="E85" i="3" s="true"/>
  <c r="F85" i="3" s="true"/>
  <c r="C85" i="3"/>
  <c r="B85" i="3"/>
  <c r="B84" i="3"/>
  <c r="C84" i="3" s="true"/>
  <c r="D84" i="3" s="true"/>
  <c r="E84" i="3" s="true"/>
  <c r="F84" i="3" s="true"/>
  <c r="G84" i="3" s="true"/>
  <c r="G82" i="3"/>
  <c r="F82" i="3"/>
  <c r="E82" i="3"/>
  <c r="D82" i="3"/>
  <c r="C82" i="3"/>
  <c r="B82" i="3"/>
  <c r="G81" i="3"/>
  <c r="F81" i="3"/>
  <c r="E81" i="3"/>
  <c r="D81" i="3"/>
  <c r="C81" i="3"/>
  <c r="B81" i="3"/>
  <c r="B80" i="3"/>
  <c r="C80" i="3" s="true"/>
  <c r="D80" i="3" s="true"/>
  <c r="E80" i="3" s="true"/>
  <c r="F80" i="3" s="true"/>
  <c r="G80" i="3" s="true"/>
  <c r="B79" i="3"/>
  <c r="B83" i="3" s="true"/>
  <c r="B87" i="3" s="true"/>
  <c r="F74" i="3"/>
  <c r="G74" i="3" s="true"/>
  <c r="B74" i="3"/>
  <c r="C74" i="3" s="true"/>
  <c r="D74" i="3" s="true"/>
  <c r="E74" i="3" s="true"/>
  <c r="B72" i="3"/>
  <c r="C72" i="3" s="true"/>
  <c r="D72" i="3" s="true"/>
  <c r="E72" i="3" s="true"/>
  <c r="F72" i="3" s="true"/>
  <c r="G72" i="3" s="true"/>
  <c r="G71" i="3"/>
  <c r="F71" i="3"/>
  <c r="E71" i="3"/>
  <c r="D71" i="3"/>
  <c r="C71" i="3"/>
  <c r="B71" i="3"/>
  <c r="B70" i="3"/>
  <c r="D69" i="3"/>
  <c r="C69" i="3"/>
  <c r="B67" i="3"/>
  <c r="C67" i="3" s="true"/>
  <c r="D67" i="3" s="true"/>
  <c r="E67" i="3" s="true"/>
  <c r="F67" i="3" s="true"/>
  <c r="G67" i="3" s="true"/>
  <c r="G66" i="3"/>
  <c r="F66" i="3"/>
  <c r="E66" i="3"/>
  <c r="D66" i="3"/>
  <c r="C66" i="3"/>
  <c r="B66" i="3"/>
  <c r="B65" i="3"/>
  <c r="C65" i="3" s="true"/>
  <c r="D65" i="3" s="true"/>
  <c r="E65" i="3" s="true"/>
  <c r="F65" i="3" s="true"/>
  <c r="G65" i="3" s="true"/>
  <c r="G64" i="3"/>
  <c r="F64" i="3"/>
  <c r="E64" i="3"/>
  <c r="D64" i="3"/>
  <c r="C64" i="3"/>
  <c r="C68" i="3" s="true"/>
  <c r="B64" i="3"/>
  <c r="C63" i="3"/>
  <c r="D63" i="3" s="true"/>
  <c r="G62" i="3"/>
  <c r="F62" i="3"/>
  <c r="E62" i="3"/>
  <c r="D62" i="3"/>
  <c r="C62" i="3"/>
  <c r="B62" i="3"/>
  <c r="G60" i="3"/>
  <c r="F60" i="3"/>
  <c r="E60" i="3"/>
  <c r="D60" i="3"/>
  <c r="C60" i="3"/>
  <c r="C61" i="3" s="true"/>
  <c r="B60" i="3"/>
  <c r="B61" i="3" s="true"/>
  <c r="C59" i="3"/>
  <c r="D59" i="3" s="true"/>
  <c r="E59" i="3" s="true"/>
  <c r="F59" i="3" s="true"/>
  <c r="D56" i="3"/>
  <c r="D57" i="3" s="true"/>
  <c r="B55" i="3"/>
  <c r="C55" i="3" s="true"/>
  <c r="D55" i="3" s="true"/>
  <c r="E55" i="3" s="true"/>
  <c r="F55" i="3" s="true"/>
  <c r="G55" i="3" s="true"/>
  <c r="G54" i="3"/>
  <c r="F54" i="3"/>
  <c r="E54" i="3"/>
  <c r="D54" i="3"/>
  <c r="C54" i="3"/>
  <c r="B54" i="3"/>
  <c r="G53" i="3"/>
  <c r="F53" i="3"/>
  <c r="E53" i="3"/>
  <c r="D53" i="3"/>
  <c r="C53" i="3"/>
  <c r="B53" i="3"/>
  <c r="G52" i="3"/>
  <c r="F52" i="3"/>
  <c r="E52" i="3"/>
  <c r="D52" i="3"/>
  <c r="C52" i="3"/>
  <c r="C56" i="3" s="true"/>
  <c r="C57" i="3" s="true"/>
  <c r="B52" i="3"/>
  <c r="G51" i="3"/>
  <c r="F51" i="3"/>
  <c r="E51" i="3"/>
  <c r="D51" i="3"/>
  <c r="C51" i="3"/>
  <c r="B51" i="3"/>
  <c r="B56" i="3" s="true"/>
  <c r="B57" i="3" s="true"/>
  <c r="C50" i="3"/>
  <c r="D50" i="3" s="true"/>
  <c r="E50" i="3" s="true"/>
  <c r="F48" i="3"/>
  <c r="E48" i="3"/>
  <c r="D48" i="3"/>
  <c r="C48" i="3"/>
  <c r="G47" i="3"/>
  <c r="G48" i="3" s="true"/>
  <c r="F47" i="3"/>
  <c r="E47" i="3"/>
  <c r="D47" i="3"/>
  <c r="C47" i="3"/>
  <c r="B47" i="3"/>
  <c r="B48" i="3" s="true"/>
  <c r="B39" i="3"/>
  <c r="C39" i="3" s="true"/>
  <c r="D39" i="3" s="true"/>
  <c r="E39" i="3" s="true"/>
  <c r="F39" i="3" s="true"/>
  <c r="G39" i="3" s="true"/>
  <c r="B38" i="3"/>
  <c r="C38" i="3" s="true"/>
  <c r="C37" i="3"/>
  <c r="D37" i="3" s="true"/>
  <c r="E37" i="3" s="true"/>
  <c r="F37" i="3" s="true"/>
  <c r="B33" i="3"/>
  <c r="C33" i="3" s="true"/>
  <c r="D33" i="3" s="true"/>
  <c r="E33" i="3" s="true"/>
  <c r="F33" i="3" s="true"/>
  <c r="G33" i="3" s="true"/>
  <c r="F32" i="3"/>
  <c r="E32" i="3"/>
  <c r="D32" i="3"/>
  <c r="C32" i="3"/>
  <c r="B32" i="3"/>
  <c r="G31" i="3"/>
  <c r="F31" i="3"/>
  <c r="E31" i="3"/>
  <c r="D31" i="3"/>
  <c r="C31" i="3"/>
  <c r="B31" i="3"/>
  <c r="C30" i="3"/>
  <c r="D30" i="3" s="true"/>
  <c r="E30" i="3" s="true"/>
  <c r="F30" i="3" s="true"/>
  <c r="G30" i="3" s="true"/>
  <c r="G32" i="3" s="true"/>
  <c r="C27" i="3"/>
  <c r="D27" i="3" s="true"/>
  <c r="E27" i="3" s="true"/>
  <c r="F27" i="3" s="true"/>
  <c r="G27" i="3" s="true"/>
  <c r="B27" i="3"/>
  <c r="B26" i="3"/>
  <c r="C26" i="3" s="true"/>
  <c r="G25" i="3"/>
  <c r="F25" i="3"/>
  <c r="E25" i="3"/>
  <c r="D25" i="3"/>
  <c r="C25" i="3"/>
  <c r="B25" i="3"/>
  <c r="B28" i="3" s="true"/>
  <c r="G24" i="3"/>
  <c r="F24" i="3"/>
  <c r="E24" i="3"/>
  <c r="D24" i="3"/>
  <c r="C24" i="3"/>
  <c r="B24" i="3"/>
  <c r="B23" i="3"/>
  <c r="C22" i="3"/>
  <c r="D22" i="3" s="true"/>
  <c r="E22" i="3" s="true"/>
  <c r="F22" i="3" s="true"/>
  <c r="G22" i="3" s="true"/>
  <c r="D21" i="3"/>
  <c r="E21" i="3" s="true"/>
  <c r="C21" i="3"/>
  <c r="B21" i="3"/>
  <c r="D19" i="3"/>
  <c r="G18" i="3"/>
  <c r="G19" i="3" s="true"/>
  <c r="F18" i="3"/>
  <c r="F19" i="3" s="true"/>
  <c r="E18" i="3"/>
  <c r="E19" i="3" s="true"/>
  <c r="D18" i="3"/>
  <c r="C18" i="3"/>
  <c r="C19" i="3" s="true"/>
  <c r="B18" i="3"/>
  <c r="B19" i="3" s="true"/>
  <c r="G14" i="3"/>
  <c r="F14" i="3"/>
  <c r="E14" i="3"/>
  <c r="D14" i="3"/>
  <c r="C14" i="3"/>
  <c r="B14" i="3"/>
  <c r="G13" i="3"/>
  <c r="F13" i="3"/>
  <c r="E13" i="3"/>
  <c r="D13" i="3"/>
  <c r="C13" i="3"/>
  <c r="B13" i="3"/>
  <c r="B12" i="3"/>
  <c r="C12" i="3" s="true"/>
  <c r="D12" i="3" s="true"/>
  <c r="E12" i="3" s="true"/>
  <c r="F12" i="3" s="true"/>
  <c r="G12" i="3" s="true"/>
  <c r="C11" i="3"/>
  <c r="D11" i="3" s="true"/>
  <c r="E11" i="3" s="true"/>
  <c r="F11" i="3" s="true"/>
  <c r="G11" i="3" s="true"/>
  <c r="B11" i="3"/>
  <c r="G10" i="3"/>
  <c r="F10" i="3"/>
  <c r="E10" i="3"/>
  <c r="D10" i="3"/>
  <c r="C10" i="3"/>
  <c r="B10" i="3"/>
  <c r="B9" i="3"/>
  <c r="H23" i="2" l="true"/>
  <c r="H13" i="2"/>
  <c r="B14" i="2"/>
  <c r="B34" i="2"/>
  <c r="H28" i="2"/>
  <c r="B112" i="2"/>
  <c r="C34" i="2"/>
  <c r="C98" i="2" s="true"/>
  <c r="D104" i="2"/>
  <c r="D105" i="2" s="true"/>
  <c r="D112" i="2" s="true"/>
  <c r="H102" i="2"/>
  <c r="C99" i="2"/>
  <c r="C113" i="2" s="true"/>
  <c r="F91" i="2"/>
  <c r="H86" i="2"/>
  <c r="H91" i="2"/>
  <c r="G24" i="2"/>
  <c r="E34" i="2"/>
  <c r="E98" i="2" s="true"/>
  <c r="E99" i="2" s="true"/>
  <c r="E113" i="2" s="true"/>
  <c r="D40" i="2"/>
  <c r="H36" i="2"/>
  <c r="C80" i="2"/>
  <c r="E71" i="2"/>
  <c r="H93" i="2"/>
  <c r="E97" i="2"/>
  <c r="D24" i="2"/>
  <c r="F24" i="2"/>
  <c r="D34" i="2"/>
  <c r="B80" i="2"/>
  <c r="H73" i="2"/>
  <c r="F40" i="2"/>
  <c r="F98" i="2" s="true"/>
  <c r="E80" i="2"/>
  <c r="G40" i="2"/>
  <c r="F71" i="2"/>
  <c r="D22" i="2"/>
  <c r="D23" i="2" s="true"/>
  <c r="H17" i="2"/>
  <c r="G71" i="2"/>
  <c r="G98" i="2" s="true"/>
  <c r="G91" i="2"/>
  <c r="G97" i="2"/>
  <c r="H104" i="2"/>
  <c r="D45" i="2"/>
  <c r="H45" i="2" s="true"/>
  <c r="H42" i="2"/>
  <c r="H55" i="2"/>
  <c r="D59" i="2"/>
  <c r="H59" i="2" s="true"/>
  <c r="H97" i="2"/>
  <c r="B40" i="2"/>
  <c r="H40" i="2" s="true"/>
  <c r="H109" i="2"/>
  <c r="H87" i="2"/>
  <c r="B71" i="2"/>
  <c r="H94" i="2"/>
  <c r="H103" i="2"/>
  <c r="B64" i="2"/>
  <c r="H64" i="2" s="true"/>
  <c r="H47" i="2"/>
  <c r="F21" i="3"/>
  <c r="G37" i="3"/>
  <c r="G59" i="3"/>
  <c r="G61" i="3" s="true"/>
  <c r="F61" i="3"/>
  <c r="B68" i="3"/>
  <c r="B75" i="3" s="true"/>
  <c r="B76" i="3" s="true"/>
  <c r="B77" i="3" s="true"/>
  <c r="B88" i="3" s="true"/>
  <c r="C73" i="3"/>
  <c r="C75" i="3" s="true"/>
  <c r="C76" i="3" s="true"/>
  <c r="C77" i="3" s="true"/>
  <c r="E63" i="3"/>
  <c r="D68" i="3"/>
  <c r="D73" i="3"/>
  <c r="B73" i="3"/>
  <c r="B15" i="3"/>
  <c r="B16" i="3" s="true"/>
  <c r="B35" i="3" s="true"/>
  <c r="D38" i="3"/>
  <c r="C40" i="3"/>
  <c r="C41" i="3" s="true"/>
  <c r="E56" i="3"/>
  <c r="E57" i="3" s="true"/>
  <c r="F50" i="3"/>
  <c r="E69" i="3"/>
  <c r="D26" i="3"/>
  <c r="C28" i="3"/>
  <c r="B29" i="3"/>
  <c r="B34" i="3" s="true"/>
  <c r="D61" i="3"/>
  <c r="C9" i="3"/>
  <c r="C23" i="3"/>
  <c r="E61" i="3"/>
  <c r="C70" i="3"/>
  <c r="D70" i="3" s="true"/>
  <c r="E70" i="3" s="true"/>
  <c r="F70" i="3" s="true"/>
  <c r="G70" i="3" s="true"/>
  <c r="C79" i="3"/>
  <c r="B40" i="3"/>
  <c r="B41" i="3" s="true"/>
  <c r="G99" i="2" l="true"/>
  <c r="G113" i="2" s="true"/>
  <c r="H80" i="2"/>
  <c r="D98" i="2"/>
  <c r="F99" i="2"/>
  <c r="F113" i="2" s="true"/>
  <c r="D99" i="2"/>
  <c r="D113" i="2" s="true"/>
  <c r="H112" i="2"/>
  <c r="H105" i="2"/>
  <c r="H71" i="2"/>
  <c r="H34" i="2"/>
  <c r="B98" i="2"/>
  <c r="H98" i="2" s="true"/>
  <c r="H22" i="2"/>
  <c r="H14" i="2"/>
  <c r="B24" i="2"/>
  <c r="E73" i="3"/>
  <c r="F69" i="3"/>
  <c r="F63" i="3"/>
  <c r="E68" i="3"/>
  <c r="E75" i="3" s="true"/>
  <c r="E76" i="3" s="true"/>
  <c r="E77" i="3" s="true"/>
  <c r="C29" i="3"/>
  <c r="C34" i="3" s="true"/>
  <c r="D23" i="3"/>
  <c r="E26" i="3"/>
  <c r="D28" i="3"/>
  <c r="F56" i="3"/>
  <c r="F57" i="3" s="true"/>
  <c r="G50" i="3"/>
  <c r="G56" i="3" s="true"/>
  <c r="G57" i="3" s="true"/>
  <c r="C83" i="3"/>
  <c r="C87" i="3" s="true"/>
  <c r="C88" i="3" s="true"/>
  <c r="D79" i="3"/>
  <c r="E38" i="3"/>
  <c r="D40" i="3"/>
  <c r="D41" i="3" s="true"/>
  <c r="B42" i="3"/>
  <c r="G21" i="3"/>
  <c r="C15" i="3"/>
  <c r="C16" i="3" s="true"/>
  <c r="D9" i="3"/>
  <c r="D75" i="3"/>
  <c r="D76" i="3" s="true"/>
  <c r="D77" i="3" s="true"/>
  <c r="H24" i="2" l="true"/>
  <c r="B99" i="2"/>
  <c r="G69" i="3"/>
  <c r="G73" i="3" s="true"/>
  <c r="F73" i="3"/>
  <c r="D15" i="3"/>
  <c r="D16" i="3" s="true"/>
  <c r="D35" i="3" s="true"/>
  <c r="D42" i="3" s="true"/>
  <c r="E9" i="3"/>
  <c r="F68" i="3"/>
  <c r="F75" i="3" s="true"/>
  <c r="F76" i="3" s="true"/>
  <c r="F77" i="3" s="true"/>
  <c r="G63" i="3"/>
  <c r="G68" i="3" s="true"/>
  <c r="G75" i="3" s="true"/>
  <c r="G76" i="3" s="true"/>
  <c r="G77" i="3" s="true"/>
  <c r="D83" i="3"/>
  <c r="D87" i="3" s="true"/>
  <c r="D88" i="3" s="true"/>
  <c r="E79" i="3"/>
  <c r="E28" i="3"/>
  <c r="F26" i="3"/>
  <c r="E23" i="3"/>
  <c r="D29" i="3"/>
  <c r="D34" i="3" s="true"/>
  <c r="C35" i="3"/>
  <c r="C42" i="3" s="true"/>
  <c r="F38" i="3"/>
  <c r="E40" i="3"/>
  <c r="E41" i="3" s="true"/>
  <c r="H99" i="2" l="true"/>
  <c r="B113" i="2"/>
  <c r="H113" i="2" s="true"/>
  <c r="E83" i="3"/>
  <c r="E87" i="3" s="true"/>
  <c r="E88" i="3" s="true"/>
  <c r="F79" i="3"/>
  <c r="F23" i="3"/>
  <c r="E29" i="3"/>
  <c r="E34" i="3" s="true"/>
  <c r="F9" i="3"/>
  <c r="E15" i="3"/>
  <c r="E16" i="3" s="true"/>
  <c r="E35" i="3" s="true"/>
  <c r="E42" i="3" s="true"/>
  <c r="G26" i="3"/>
  <c r="G28" i="3" s="true"/>
  <c r="F28" i="3"/>
  <c r="G38" i="3"/>
  <c r="G40" i="3" s="true"/>
  <c r="G41" i="3" s="true"/>
  <c r="F40" i="3"/>
  <c r="F41" i="3" s="true"/>
  <c r="G9" i="3" l="true"/>
  <c r="G15" i="3" s="true"/>
  <c r="G16" i="3" s="true"/>
  <c r="F15" i="3"/>
  <c r="F16" i="3" s="true"/>
  <c r="G79" i="3"/>
  <c r="G83" i="3" s="true"/>
  <c r="G87" i="3" s="true"/>
  <c r="G88" i="3" s="true"/>
  <c r="F83" i="3"/>
  <c r="F87" i="3" s="true"/>
  <c r="F88" i="3" s="true"/>
  <c r="G23" i="3"/>
  <c r="G29" i="3" s="true"/>
  <c r="G34" i="3" s="true"/>
  <c r="F29" i="3"/>
  <c r="F34" i="3" s="true"/>
  <c r="F35" i="3" l="true"/>
  <c r="F42" i="3" s="true"/>
  <c r="G35" i="3"/>
  <c r="G42" i="3" s="true"/>
</calcChain>
</file>

<file path=xl/sharedStrings.xml><?xml version="1.0" encoding="utf-8"?>
<sst xmlns="http://schemas.openxmlformats.org/spreadsheetml/2006/main" count="211" uniqueCount="211">
  <si>
    <t>Aug 2025</t>
  </si>
  <si>
    <t>Sep 2025</t>
  </si>
  <si>
    <t>Oct 2025</t>
  </si>
  <si>
    <t>Nov 2025</t>
  </si>
  <si>
    <t>Dec 2025</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</si>
  <si>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</si>
  <si>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</si>
  <si>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</si>
  <si>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</si>
  <si>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</si>
  <si>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</si>
  <si>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</si>
  <si>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</si>
  <si>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</si>
  <si>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</si>
  <si>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</si>
  <si>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</si>
  <si>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</si>
  <si>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</si>
  <si>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</si>
  <si>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</si>
  <si>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</si>
  <si>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</si>
  <si>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</si>
  <si>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</si>
  <si>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</si>
  <si>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</si>
  <si>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</si>
  <si>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</si>
  <si>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</si>
  <si>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</si>
  <si>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</si>
  <si>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</si>
  <si>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</si>
  <si>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</si>
  <si>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</si>
  <si>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</si>
  <si>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</si>
  <si>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</si>
  <si>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</si>
  <si>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</si>
  <si>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</si>
  <si>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</si>
  <si>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</si>
  <si>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</si>
  <si>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</si>
  <si>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</si>
  <si>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</si>
  <si>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</si>
  <si>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</si>
  <si>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</si>
  <si>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</si>
  <si>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</si>
  <si>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</si>
  <si>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</si>
  <si>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</si>
  <si>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</si>
  <si>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</si>
  <si>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</si>
  <si>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</si>
  <si>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</si>
  <si>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</si>
  <si>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38000 Excess Distributions</t>
  </si>
  <si>
    <t xml:space="preserve">      39000 Retained Earnings</t>
  </si>
  <si>
    <t xml:space="preserve">      Net Income</t>
  </si>
  <si>
    <t xml:space="preserve">   Total Equity</t>
  </si>
  <si>
    <t>TOTAL LIABILITIES AND EQUITY</t>
  </si>
  <si>
    <t>Summit Strategy</t>
  </si>
  <si>
    <t>Balance Sheet</t>
  </si>
  <si>
    <t>Profit and Loss</t>
  </si>
  <si>
    <t>Total</t>
  </si>
  <si>
    <t>Income</t>
  </si>
  <si>
    <t xml:space="preserve">   40000 Income</t>
  </si>
  <si>
    <t xml:space="preserve">      40200 Retainer Projects</t>
  </si>
  <si>
    <t xml:space="preserve">      40300 T&amp;M Projects</t>
  </si>
  <si>
    <t xml:space="preserve">   Total 40000 Income</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</si>
  <si>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</si>
  <si>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</si>
  <si>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</si>
  <si>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</si>
  <si>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</si>
  <si>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</si>
  <si>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</si>
  <si>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</si>
  <si>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</si>
  <si>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</si>
  <si>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</si>
  <si>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</si>
  <si>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</si>
  <si>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</si>
  <si>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</si>
  <si>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</si>
  <si>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</si>
  <si>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</si>
  <si>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</si>
  <si>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</si>
  <si>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</si>
  <si>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</si>
  <si>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</si>
  <si>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</si>
  <si>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</si>
  <si>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</si>
  <si>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</si>
  <si>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</si>
  <si>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</si>
  <si>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</si>
  <si>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</si>
  <si>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</si>
  <si>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</si>
  <si>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</si>
  <si>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</si>
  <si>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</si>
  <si>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</si>
  <si>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</si>
  <si>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</si>
  <si>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</si>
  <si>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</si>
  <si>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</si>
  <si>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</si>
  <si>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</si>
  <si>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</si>
  <si>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</si>
  <si>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</si>
  <si>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</si>
  <si>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</si>
  <si>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</si>
  <si>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</si>
  <si>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</si>
  <si>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</si>
  <si>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</si>
  <si>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</si>
  <si>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</si>
  <si>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</si>
  <si>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</si>
  <si>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</si>
  <si>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</si>
  <si>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</si>
  <si>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</si>
  <si>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</si>
  <si>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</si>
  <si>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</si>
  <si>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</si>
  <si>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</si>
  <si>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</si>
  <si>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</si>
  <si>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</si>
  <si>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</si>
  <si>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</si>
  <si>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</si>
  <si>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68050 IT Services</t>
  </si>
  <si>
    <t xml:space="preserve">      68060 Legal Fees</t>
  </si>
  <si>
    <t xml:space="preserve">   Total 68000 Legal &amp; Professional Fees</t>
  </si>
  <si>
    <t xml:space="preserve">   69000 Other Operating Expenses</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</si>
  <si>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</si>
  <si>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</si>
  <si>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</si>
  <si>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</si>
  <si>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</si>
  <si>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</si>
  <si>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</si>
  <si>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</si>
  <si>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</si>
  <si>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</si>
  <si>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</si>
  <si>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</si>
  <si>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</si>
  <si>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</si>
  <si>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</si>
  <si>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</si>
  <si>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Total Other Expenses</t>
  </si>
  <si>
    <t>Net Other Income</t>
  </si>
  <si>
    <t>Net Income</t>
  </si>
  <si>
    <t>RICKLYR'S NOTES</t>
  </si>
  <si>
    <t>Refer to Unearned and Harvest report</t>
  </si>
  <si>
    <t>Employee direct labor</t>
  </si>
  <si>
    <t>Jan 2026</t>
  </si>
  <si>
    <t xml:space="preserve">            Payroll Clearing</t>
  </si>
  <si>
    <t>As of January 31, 2026</t>
  </si>
  <si>
    <t>August 2025 - January 2026</t>
  </si>
  <si>
    <t xml:space="preserve">      40100 Fixed Fee Projects</t>
  </si>
  <si>
    <t xml:space="preserve">      68040 HR/Recruiting fees</t>
  </si>
  <si>
    <t>Krystyn's wages increase from $4K to $5K</t>
  </si>
  <si>
    <t>Other employee wages increased as well</t>
  </si>
  <si>
    <t>LiveOak interest earned</t>
  </si>
  <si>
    <t>Decrease in payment to Anatalia and Rhino</t>
  </si>
  <si>
    <t>LinkedIn Recruitment</t>
  </si>
  <si>
    <t xml:space="preserve">            10030 Savings - CWB | 0522</t>
  </si>
  <si>
    <t xml:space="preserve">         12009 Undeposited Funds</t>
  </si>
  <si>
    <t xml:space="preserve">            12110 Project's Prepaid Expenses</t>
  </si>
  <si>
    <t xml:space="preserve">               12135 Health Insurance</t>
  </si>
  <si>
    <t xml:space="preserve">               12136 Liability Insurance</t>
  </si>
  <si>
    <t xml:space="preserve">            Total 12130 Prepaid Insurance</t>
  </si>
  <si>
    <t xml:space="preserve">         12300 State Refund Receivable</t>
  </si>
  <si>
    <t xml:space="preserve">   Fixed Assets</t>
  </si>
  <si>
    <t xml:space="preserve">      13000 Fixed Assets &amp; Leasehold Improvements</t>
  </si>
  <si>
    <t xml:space="preserve">         13010 Computers</t>
  </si>
  <si>
    <t xml:space="preserve">         14990 Accumulated Depreciation</t>
  </si>
  <si>
    <t xml:space="preserve">      Total 13000 Fixed Assets &amp; Leasehold Improvements</t>
  </si>
  <si>
    <t xml:space="preserve">   Total Fixed Assets</t>
  </si>
  <si>
    <t xml:space="preserve">               21060 Paypal</t>
  </si>
  <si>
    <t xml:space="preserve">               23020 Accrued Interest</t>
  </si>
  <si>
    <t xml:space="preserve">               23040 CA Franchise Tax</t>
  </si>
  <si>
    <t xml:space="preserve">               24010 AmEx Loan</t>
  </si>
  <si>
    <t xml:space="preserve">               24030 Headway Capital LOC</t>
  </si>
  <si>
    <t xml:space="preserve">         31100 Contributions</t>
  </si>
  <si>
    <t xml:space="preserve">         31300 Krystn Business Reimbursements</t>
  </si>
  <si>
    <t>Thursday, Feb 19, 2026 07:12:47 PM GMT-8 - Accrual Basis</t>
  </si>
  <si>
    <t xml:space="preserve">      62080 Meals/Entertainment - EO</t>
  </si>
  <si>
    <t xml:space="preserve">      69010 Seminars &amp; Education</t>
  </si>
  <si>
    <t xml:space="preserve">   91000 Ask My Accountant</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</si>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</sst>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11">
    <font>
      <name val="Aptos Narrow"/>
      <family val="2"/>
      <color indexed="8"/>
      <sz val="11"/>
      <scheme val="minor"/>
    </font>
    <font>
      <name val="Arial"/>
      <family val="2"/>
      <b val="1"/>
      <color indexed="8"/>
      <sz val="14"/>
    </font>
    <font>
      <name val="Arial"/>
      <family val="2"/>
      <b val="1"/>
      <color indexed="8"/>
      <sz val="10"/>
    </font>
    <font>
      <name val="Arial"/>
      <family val="2"/>
      <b val="1"/>
      <color indexed="8"/>
      <sz val="9"/>
    </font>
    <font>
      <name val="Aptos Narrow"/>
      <family val="2"/>
      <i val="1"/>
      <color rgb="FFFF0000"/>
      <sz val="11"/>
      <scheme val="minor"/>
    </font>
    <font>
      <name val="Arial"/>
      <family val="2"/>
      <b val="1"/>
      <color indexed="8"/>
      <sz val="14"/>
    </font>
    <font>
      <name val="Arial"/>
      <family val="2"/>
      <b val="1"/>
      <color indexed="8"/>
      <sz val="10"/>
    </font>
    <font>
      <name val="Arial"/>
      <family val="2"/>
      <b val="1"/>
      <color indexed="8"/>
      <sz val="9"/>
    </font>
    <font>
      <name val="Arial"/>
      <family val="2"/>
      <b val="1"/>
      <color indexed="8"/>
      <sz val="8"/>
    </font>
    <font>
      <name val="Arial"/>
      <family val="2"/>
      <color indexed="8"/>
      <sz val="8"/>
    </font>
    <font>
      <family val="2"/>
      <b val="1"/>
      <col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patternFill>
    </fill>
    <fill>
      <patternFill patternType="solid">
        <fgColor rgb="FFFF0000"/>
      </patternFill>
    </fill>
    <fill>
      <patternFill patternType="solid">
        <fgColor rgb="FF00B050"/>
      </patternFill>
    </fill>
  </fills>
  <borders count="4">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6">
    <xf numFmtId="0" fontId="0" fillId="0" borderId="0" xfId="0"/>
    <xf numFmtId="0" fontId="0" fillId="0" borderId="0" xfId="0" applyAlignment="true">
      <alignment wrapText="true"/>
    </xf>
    <xf numFmtId="4" fontId="0" fillId="0" borderId="0" xfId="0" applyNumberFormat="true"/>
    <xf numFmtId="0" fontId="3" fillId="0" borderId="1" xfId="0" applyFont="true" applyBorder="true" applyAlignment="true">
      <alignment horizontal="center" wrapText="true"/>
    </xf>
    <xf numFmtId="0" fontId="4" fillId="0" borderId="0" xfId="0" applyFont="true" applyAlignment="true">
      <alignment wrapText="true"/>
    </xf>
    <xf numFmtId="0" fontId="7" fillId="0" borderId="1" xfId="0" applyFont="true" applyBorder="true" applyAlignment="true">
      <alignment horizontal="center" wrapText="true"/>
    </xf>
    <xf numFmtId="0" fontId="8" fillId="0" borderId="0" xfId="0" applyFont="true" applyAlignment="true">
      <alignment horizontal="left" wrapText="true"/>
    </xf>
    <xf numFmtId="164" fontId="9" fillId="0" borderId="0" xfId="0" applyNumberFormat="true" applyFont="true" applyAlignment="true">
      <alignment wrapText="true"/>
    </xf>
    <xf numFmtId="164" fontId="9" fillId="0" borderId="0" xfId="0" applyNumberFormat="true" applyFont="true" applyAlignment="true">
      <alignment horizontal="right" wrapText="true"/>
    </xf>
    <xf numFmtId="165" fontId="8" fillId="0" borderId="2" xfId="0" applyNumberFormat="true" applyFont="true" applyBorder="true" applyAlignment="true">
      <alignment horizontal="right" wrapText="true"/>
    </xf>
    <xf numFmtId="164" fontId="9" fillId="2" borderId="0" xfId="0" applyNumberFormat="true" applyFont="true" applyFill="true" applyAlignment="true">
      <alignment horizontal="right" wrapText="true"/>
    </xf>
    <xf numFmtId="165" fontId="8" fillId="2" borderId="2" xfId="0" applyNumberFormat="true" applyFont="true" applyFill="true" applyBorder="true" applyAlignment="true">
      <alignment horizontal="right" wrapText="true"/>
    </xf>
    <xf numFmtId="0" fontId="9" fillId="0" borderId="0" xfId="0" applyFont="true" applyAlignment="true">
      <alignment horizontal="center"/>
    </xf>
    <xf numFmtId="0" fontId="0" fillId="0" borderId="0" xfId="0"/>
    <xf numFmtId="0" fontId="5" fillId="0" borderId="0" xfId="0" applyFont="true" applyAlignment="true">
      <alignment horizontal="center"/>
    </xf>
    <xf numFmtId="0" fontId="6" fillId="0" borderId="0" xfId="0" applyFont="true" applyAlignment="true">
      <alignment horizontal="center"/>
    </xf>
    <xf numFmtId="0" fontId="1" fillId="0" borderId="0" xfId="0" applyFont="true" applyAlignment="true">
      <alignment horizontal="center"/>
    </xf>
    <xf numFmtId="0" fontId="2" fillId="0" borderId="0" xfId="0" applyFont="true" applyAlignment="true">
      <alignment horizontal="center"/>
    </xf>
    <xf numFmtId="0" fontId="3" fillId="3" borderId="1" xfId="0" applyFont="true" applyFill="true" applyBorder="true" applyAlignment="true">
      <alignment horizontal="center" wrapText="true"/>
    </xf>
    <xf numFmtId="0" fontId="9" fillId="4" borderId="0" xfId="0" applyFont="true" applyFill="true" applyAlignment="true">
      <alignment horizontal="right" wrapText="true"/>
    </xf>
    <xf numFmtId="0" fontId="10" fillId="0" borderId="0" xfId="0" applyFont="true" applyAlignment="false">
      <alignment/>
    </xf>
    <xf numFmtId="1" fontId="0" fillId="0" borderId="0" xfId="0" applyNumberFormat="true" applyAlignment="false">
      <alignment/>
    </xf>
    <xf numFmtId="0" fontId="9" fillId="4" borderId="3" xfId="0" applyFont="true" applyFill="true" applyBorder="true" applyAlignment="true">
      <alignment horizontal="right" wrapText="true"/>
    </xf>
    <xf numFmtId="0" fontId="9" fillId="5" borderId="3" xfId="0" applyFont="true" applyFill="true" applyBorder="true" applyAlignment="true">
      <alignment wrapText="true"/>
    </xf>
    <xf numFmtId="0" fontId="9" fillId="5" borderId="3" xfId="0" applyFont="true" applyFill="true" applyBorder="true" applyAlignment="true">
      <alignment horizontal="right" wrapText="true"/>
    </xf>
    <xf numFmtId="0" fontId="9" fillId="6" borderId="0" xfId="0" applyFont="true" applyFill="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BA8E-0EEB-4CFF-BE1C-8016C2BF81C5}">
  <dimension ref="A1:G92"/>
  <sheetViews>
    <sheetView topLeftCell="A63" workbookViewId="0">
      <selection activeCell="K76" sqref="K76"/>
    </sheetView>
  </sheetViews>
  <sheetFormatPr defaultRowHeight="14.4"/>
  <cols>
    <col customWidth="true" max="1" min="1" width="48.109375"/>
    <col customWidth="true" max="6" min="2" width="11.21875"/>
    <col customWidth="true" max="7" min="7" width="12"/>
  </cols>
  <sheetData>
    <row r="1" spans="1:7" ht="17.4">
      <c r="A1" s="14" t="s">
        <v>67</v>
      </c>
      <c r="B1" s="13"/>
      <c r="C1" s="13"/>
      <c r="D1" s="13"/>
      <c r="E1" s="13"/>
      <c r="F1" s="13"/>
      <c r="G1" s="13"/>
    </row>
    <row r="2" spans="1:7" ht="17.4">
      <c r="A2" s="14" t="s">
        <v>68</v>
      </c>
      <c r="B2" s="13"/>
      <c r="C2" s="13"/>
      <c r="D2" s="13"/>
      <c r="E2" s="13"/>
      <c r="F2" s="13"/>
      <c r="G2" s="13"/>
    </row>
    <row r="3" spans="1:7">
      <c r="A3" s="15" t="s">
        <v>177</v>
      </c>
      <c r="B3" s="13"/>
      <c r="C3" s="13"/>
      <c r="D3" s="13"/>
      <c r="E3" s="13"/>
      <c r="F3" s="13"/>
      <c r="G3" s="13"/>
    </row>
    <row r="5" spans="1:7">
      <c r="A5" s="1"/>
      <c r="B5" s="5" t="s">
        <v>0</v>
      </c>
      <c r="C5" s="5" t="s">
        <v>1</v>
      </c>
      <c r="D5" s="5" t="s">
        <v>2</v>
      </c>
      <c r="E5" s="5" t="s">
        <v>3</v>
      </c>
      <c r="F5" s="5" t="s">
        <v>4</v>
      </c>
      <c r="G5" s="5" t="s">
        <v>175</v>
      </c>
    </row>
    <row r="6" spans="1:7">
      <c r="A6" s="6" t="s">
        <v>5</v>
      </c>
      <c r="B6" s="7"/>
      <c r="C6" s="7"/>
      <c r="D6" s="7"/>
      <c r="E6" s="7"/>
      <c r="F6" s="7"/>
      <c r="G6" s="7"/>
    </row>
    <row r="7" spans="1:7">
      <c r="A7" s="6" t="s">
        <v>6</v>
      </c>
      <c r="B7" s="7"/>
      <c r="C7" s="7"/>
      <c r="D7" s="7"/>
      <c r="E7" s="7"/>
      <c r="F7" s="7"/>
      <c r="G7" s="7"/>
    </row>
    <row r="8" spans="1:7">
      <c r="A8" s="6" t="s">
        <v>7</v>
      </c>
      <c r="B8" s="7"/>
      <c r="C8" s="7"/>
      <c r="D8" s="7"/>
      <c r="E8" s="7"/>
      <c r="F8" s="7"/>
      <c r="G8" s="7"/>
    </row>
    <row r="9" spans="1:7">
      <c r="A9" s="6" t="s">
        <v>8</v>
      </c>
      <c r="B9" s="8">
        <f>0</f>
        <v>0</v>
      </c>
      <c r="C9" s="8">
        <f>B9</f>
        <v>0</v>
      </c>
      <c r="D9" s="8">
        <f>C9</f>
        <v>0</v>
      </c>
      <c r="E9" s="8">
        <f>D9</f>
        <v>0</v>
      </c>
      <c r="F9" s="8">
        <f>E9</f>
        <v>0</v>
      </c>
      <c r="G9" s="8">
        <f>F9</f>
        <v>0</v>
      </c>
    </row>
    <row r="10" spans="1:7">
      <c r="A10" s="6" t="s">
        <v>9</v>
      </c>
      <c r="B10" s="8">
        <f>13884.9</f>
        <v>13884.9</v>
      </c>
      <c r="C10" s="8">
        <f>1830.09</f>
        <v>1830.09</v>
      </c>
      <c r="D10" s="8">
        <f>7414.9</f>
        <v>7414.9</v>
      </c>
      <c r="E10" s="8">
        <f>12990.3</f>
        <v>12990.3</v>
      </c>
      <c r="F10" s="8">
        <f>1080.99</f>
        <v>1080.99</v>
      </c>
      <c r="G10" s="25">
        <f>6784.76</f>
        <v>6784.76</v>
      </c>
    </row>
    <row r="11" spans="1:7">
      <c r="A11" s="6" t="s">
        <v>10</v>
      </c>
      <c r="B11" s="8">
        <f>0.04</f>
        <v>0.04</v>
      </c>
      <c r="C11" s="8">
        <f t="shared" ref="C11:G12" si="0">B11</f>
        <v>0.04</v>
      </c>
      <c r="D11" s="8">
        <f t="shared" si="0"/>
        <v>0.04</v>
      </c>
      <c r="E11" s="8">
        <f t="shared" si="0"/>
        <v>0.04</v>
      </c>
      <c r="F11" s="8">
        <f t="shared" si="0"/>
        <v>0.04</v>
      </c>
      <c r="G11" s="25">
        <f t="shared" si="0"/>
        <v>0.04</v>
      </c>
    </row>
    <row r="12" spans="1:7">
      <c r="A12" s="6" t="s">
        <v>186</v>
      </c>
      <c r="B12" s="8">
        <f>0</f>
        <v>0</v>
      </c>
      <c r="C12" s="8">
        <f t="shared" si="0"/>
        <v>0</v>
      </c>
      <c r="D12" s="8">
        <f t="shared" si="0"/>
        <v>0</v>
      </c>
      <c r="E12" s="8">
        <f t="shared" si="0"/>
        <v>0</v>
      </c>
      <c r="F12" s="8">
        <f t="shared" si="0"/>
        <v>0</v>
      </c>
      <c r="G12" s="25">
        <f t="shared" si="0"/>
        <v>0</v>
      </c>
    </row>
    <row r="13" spans="1:7">
      <c r="A13" s="6" t="s">
        <v>11</v>
      </c>
      <c r="B13" s="8">
        <f>4822.41</f>
        <v>4822.41</v>
      </c>
      <c r="C13" s="8">
        <f>9835.75</f>
        <v>9835.75</v>
      </c>
      <c r="D13" s="8">
        <f>14859.97</f>
        <v>14859.97</v>
      </c>
      <c r="E13" s="8">
        <f>19896.63</f>
        <v>19896.63</v>
      </c>
      <c r="F13" s="8">
        <f>24945.54</f>
        <v>24945.54</v>
      </c>
      <c r="G13" s="25">
        <f>225360.3</f>
        <v>225360.3</v>
      </c>
    </row>
    <row r="14" spans="1:7">
      <c r="A14" s="6" t="s">
        <v>12</v>
      </c>
      <c r="B14" s="8">
        <f>40124.33</f>
        <v>40124.33</v>
      </c>
      <c r="C14" s="8">
        <f>82881.18</f>
        <v>82881.179999999993</v>
      </c>
      <c r="D14" s="8">
        <f>75098.93</f>
        <v>75098.929999999993</v>
      </c>
      <c r="E14" s="8">
        <f>103524.61</f>
        <v>103524.61</v>
      </c>
      <c r="F14" s="8">
        <f>331485.19</f>
        <v>331485.19</v>
      </c>
      <c r="G14" s="25">
        <f>135502.75</f>
        <v>135502.75</v>
      </c>
    </row>
    <row r="15" spans="1:7">
      <c r="A15" s="6" t="s">
        <v>13</v>
      </c>
      <c r="B15" s="9">
        <f t="shared" ref="B15:G15" si="1">(((((B9)+(B10))+(B11))+(B12))+(B13))+(B14)</f>
        <v>58831.68</v>
      </c>
      <c r="C15" s="9">
        <f t="shared" si="1"/>
        <v>94547.06</v>
      </c>
      <c r="D15" s="9">
        <f t="shared" si="1"/>
        <v>97373.84</v>
      </c>
      <c r="E15" s="9">
        <f t="shared" si="1"/>
        <v>136411.58000000002</v>
      </c>
      <c r="F15" s="9">
        <f t="shared" si="1"/>
        <v>357511.76</v>
      </c>
      <c r="G15" s="9">
        <f t="shared" si="1"/>
        <v>367647.85</v>
      </c>
    </row>
    <row r="16" spans="1:7">
      <c r="A16" s="6" t="s">
        <v>14</v>
      </c>
      <c r="B16" s="9">
        <f t="shared" ref="B16:G16" si="2">B15</f>
        <v>58831.68</v>
      </c>
      <c r="C16" s="9">
        <f t="shared" si="2"/>
        <v>94547.06</v>
      </c>
      <c r="D16" s="9">
        <f t="shared" si="2"/>
        <v>97373.84</v>
      </c>
      <c r="E16" s="9">
        <f t="shared" si="2"/>
        <v>136411.58000000002</v>
      </c>
      <c r="F16" s="9">
        <f t="shared" si="2"/>
        <v>357511.76</v>
      </c>
      <c r="G16" s="9">
        <f t="shared" si="2"/>
        <v>367647.85</v>
      </c>
    </row>
    <row r="17" spans="1:7">
      <c r="A17" s="6" t="s">
        <v>15</v>
      </c>
      <c r="B17" s="7"/>
      <c r="C17" s="7"/>
      <c r="D17" s="7"/>
      <c r="E17" s="7"/>
      <c r="F17" s="7"/>
      <c r="G17" s="7"/>
    </row>
    <row r="18" spans="1:7">
      <c r="A18" s="6" t="s">
        <v>16</v>
      </c>
      <c r="B18" s="8">
        <f>94192.5</f>
        <v>94192.5</v>
      </c>
      <c r="C18" s="8">
        <f>95713.75</f>
        <v>95713.75</v>
      </c>
      <c r="D18" s="8">
        <f>186019.44</f>
        <v>186019.44</v>
      </c>
      <c r="E18" s="8">
        <f>130696.89</f>
        <v>130696.89</v>
      </c>
      <c r="F18" s="8">
        <f>177891.47</f>
        <v>177891.47</v>
      </c>
      <c r="G18" s="25">
        <f>137388.12</f>
        <v>137388.12</v>
      </c>
    </row>
    <row r="19" spans="1:7">
      <c r="A19" s="6" t="s">
        <v>17</v>
      </c>
      <c r="B19" s="9">
        <f t="shared" ref="B19:G19" si="3">B18</f>
        <v>94192.5</v>
      </c>
      <c r="C19" s="9">
        <f t="shared" si="3"/>
        <v>95713.75</v>
      </c>
      <c r="D19" s="9">
        <f t="shared" si="3"/>
        <v>186019.44</v>
      </c>
      <c r="E19" s="9">
        <f t="shared" si="3"/>
        <v>130696.89</v>
      </c>
      <c r="F19" s="9">
        <f t="shared" si="3"/>
        <v>177891.47</v>
      </c>
      <c r="G19" s="9">
        <f t="shared" si="3"/>
        <v>137388.12</v>
      </c>
    </row>
    <row r="20" spans="1:7">
      <c r="A20" s="6" t="s">
        <v>18</v>
      </c>
      <c r="B20" s="7"/>
      <c r="C20" s="7"/>
      <c r="D20" s="7"/>
      <c r="E20" s="7"/>
      <c r="F20" s="7"/>
      <c r="G20" s="7"/>
    </row>
    <row r="21" spans="1:7">
      <c r="A21" s="6" t="s">
        <v>187</v>
      </c>
      <c r="B21" s="8">
        <f>0</f>
        <v>0</v>
      </c>
      <c r="C21" s="8">
        <f t="shared" ref="C21:G23" si="4">B21</f>
        <v>0</v>
      </c>
      <c r="D21" s="8">
        <f t="shared" si="4"/>
        <v>0</v>
      </c>
      <c r="E21" s="8">
        <f t="shared" si="4"/>
        <v>0</v>
      </c>
      <c r="F21" s="8">
        <f t="shared" si="4"/>
        <v>0</v>
      </c>
      <c r="G21" s="25">
        <f t="shared" si="4"/>
        <v>0</v>
      </c>
    </row>
    <row r="22" spans="1:7">
      <c r="A22" s="6" t="s">
        <v>19</v>
      </c>
      <c r="B22" s="7"/>
      <c r="C22" s="8">
        <f t="shared" si="4"/>
        <v>0</v>
      </c>
      <c r="D22" s="8">
        <f t="shared" si="4"/>
        <v>0</v>
      </c>
      <c r="E22" s="8">
        <f t="shared" si="4"/>
        <v>0</v>
      </c>
      <c r="F22" s="8">
        <f t="shared" si="4"/>
        <v>0</v>
      </c>
      <c r="G22" s="8">
        <f t="shared" si="4"/>
        <v>0</v>
      </c>
    </row>
    <row r="23" spans="1:7">
      <c r="A23" s="6" t="s">
        <v>188</v>
      </c>
      <c r="B23" s="8">
        <f>0</f>
        <v>0</v>
      </c>
      <c r="C23" s="8">
        <f t="shared" si="4"/>
        <v>0</v>
      </c>
      <c r="D23" s="8">
        <f t="shared" si="4"/>
        <v>0</v>
      </c>
      <c r="E23" s="8">
        <f t="shared" si="4"/>
        <v>0</v>
      </c>
      <c r="F23" s="8">
        <f t="shared" si="4"/>
        <v>0</v>
      </c>
      <c r="G23" s="25">
        <f t="shared" si="4"/>
        <v>0</v>
      </c>
    </row>
    <row r="24" spans="1:7">
      <c r="A24" s="6" t="s">
        <v>20</v>
      </c>
      <c r="B24" s="8">
        <f>21303</f>
        <v>21303</v>
      </c>
      <c r="C24" s="8">
        <f>23392.52</f>
        <v>23392.52</v>
      </c>
      <c r="D24" s="8">
        <f>22849.14</f>
        <v>22849.14</v>
      </c>
      <c r="E24" s="8">
        <f>13701.5</f>
        <v>13701.5</v>
      </c>
      <c r="F24" s="8">
        <f>25921.57</f>
        <v>25921.57</v>
      </c>
      <c r="G24" s="19">
        <f>47943.79</f>
        <v>47943.79</v>
      </c>
    </row>
    <row r="25" spans="1:7">
      <c r="A25" s="6" t="s">
        <v>21</v>
      </c>
      <c r="B25" s="8">
        <f>3492.61</f>
        <v>3492.61</v>
      </c>
      <c r="C25" s="8">
        <f>2934.15</f>
        <v>2934.15</v>
      </c>
      <c r="D25" s="8">
        <f>2375.69</f>
        <v>2375.69</v>
      </c>
      <c r="E25" s="8">
        <f>1817.23</f>
        <v>1817.23</v>
      </c>
      <c r="F25" s="8">
        <f>1830.66</f>
        <v>1830.66</v>
      </c>
      <c r="G25" s="25">
        <f>4983.21</f>
        <v>4983.21</v>
      </c>
    </row>
    <row r="26" spans="1:7">
      <c r="A26" s="6" t="s">
        <v>189</v>
      </c>
      <c r="B26" s="8">
        <f>0</f>
        <v>0</v>
      </c>
      <c r="C26" s="8">
        <f t="shared" ref="C26:G27" si="5">B26</f>
        <v>0</v>
      </c>
      <c r="D26" s="8">
        <f t="shared" si="5"/>
        <v>0</v>
      </c>
      <c r="E26" s="8">
        <f t="shared" si="5"/>
        <v>0</v>
      </c>
      <c r="F26" s="8">
        <f t="shared" si="5"/>
        <v>0</v>
      </c>
      <c r="G26" s="25">
        <f t="shared" si="5"/>
        <v>0</v>
      </c>
    </row>
    <row r="27" spans="1:7">
      <c r="A27" s="6" t="s">
        <v>190</v>
      </c>
      <c r="B27" s="8">
        <f>0</f>
        <v>0</v>
      </c>
      <c r="C27" s="8">
        <f t="shared" si="5"/>
        <v>0</v>
      </c>
      <c r="D27" s="8">
        <f t="shared" si="5"/>
        <v>0</v>
      </c>
      <c r="E27" s="8">
        <f t="shared" si="5"/>
        <v>0</v>
      </c>
      <c r="F27" s="8">
        <f t="shared" si="5"/>
        <v>0</v>
      </c>
      <c r="G27" s="25">
        <f t="shared" si="5"/>
        <v>0</v>
      </c>
    </row>
    <row r="28" spans="1:7">
      <c r="A28" s="6" t="s">
        <v>191</v>
      </c>
      <c r="B28" s="9">
        <f t="shared" ref="B28:G28" si="6">((B25)+(B26))+(B27)</f>
        <v>3492.61</v>
      </c>
      <c r="C28" s="9">
        <f t="shared" si="6"/>
        <v>2934.15</v>
      </c>
      <c r="D28" s="9">
        <f t="shared" si="6"/>
        <v>2375.69</v>
      </c>
      <c r="E28" s="9">
        <f t="shared" si="6"/>
        <v>1817.23</v>
      </c>
      <c r="F28" s="9">
        <f t="shared" si="6"/>
        <v>1830.66</v>
      </c>
      <c r="G28" s="9">
        <f t="shared" si="6"/>
        <v>4983.21</v>
      </c>
    </row>
    <row r="29" spans="1:7">
      <c r="A29" s="6" t="s">
        <v>22</v>
      </c>
      <c r="B29" s="9">
        <f t="shared" ref="B29:G29" si="7">(((B22)+(B23))+(B24))+(B28)</f>
        <v>24795.61</v>
      </c>
      <c r="C29" s="9">
        <f t="shared" si="7"/>
        <v>26326.670000000002</v>
      </c>
      <c r="D29" s="9">
        <f t="shared" si="7"/>
        <v>25224.829999999998</v>
      </c>
      <c r="E29" s="9">
        <f t="shared" si="7"/>
        <v>15518.73</v>
      </c>
      <c r="F29" s="9">
        <f t="shared" si="7"/>
        <v>27752.23</v>
      </c>
      <c r="G29" s="9">
        <f t="shared" si="7"/>
        <v>52927</v>
      </c>
    </row>
    <row r="30" spans="1:7">
      <c r="A30" s="6" t="s">
        <v>23</v>
      </c>
      <c r="B30" s="7"/>
      <c r="C30" s="8">
        <f>B30</f>
        <v>0</v>
      </c>
      <c r="D30" s="8">
        <f>C30</f>
        <v>0</v>
      </c>
      <c r="E30" s="8">
        <f>D30</f>
        <v>0</v>
      </c>
      <c r="F30" s="8">
        <f>E30</f>
        <v>0</v>
      </c>
      <c r="G30" s="8">
        <f>F30</f>
        <v>0</v>
      </c>
    </row>
    <row r="31" spans="1:7">
      <c r="A31" s="6" t="s">
        <v>24</v>
      </c>
      <c r="B31" s="8">
        <f>26112.12</f>
        <v>26112.12</v>
      </c>
      <c r="C31" s="8">
        <f>57944.29</f>
        <v>57944.29</v>
      </c>
      <c r="D31" s="8">
        <f>34171.58</f>
        <v>34171.58</v>
      </c>
      <c r="E31" s="8">
        <f>8073.44</f>
        <v>8073.44</v>
      </c>
      <c r="F31" s="8">
        <f>848.77</f>
        <v>848.77</v>
      </c>
      <c r="G31" s="25">
        <f>9586.08</f>
        <v>9586.08</v>
      </c>
    </row>
    <row r="32" spans="1:7">
      <c r="A32" s="6" t="s">
        <v>25</v>
      </c>
      <c r="B32" s="9">
        <f t="shared" ref="B32:G32" si="8">(B30)+(B31)</f>
        <v>26112.12</v>
      </c>
      <c r="C32" s="9">
        <f t="shared" si="8"/>
        <v>57944.29</v>
      </c>
      <c r="D32" s="9">
        <f t="shared" si="8"/>
        <v>34171.58</v>
      </c>
      <c r="E32" s="9">
        <f t="shared" si="8"/>
        <v>8073.44</v>
      </c>
      <c r="F32" s="9">
        <f t="shared" si="8"/>
        <v>848.77</v>
      </c>
      <c r="G32" s="9">
        <f t="shared" si="8"/>
        <v>9586.08</v>
      </c>
    </row>
    <row r="33" spans="1:7">
      <c r="A33" s="6" t="s">
        <v>192</v>
      </c>
      <c r="B33" s="8">
        <f>0</f>
        <v>0</v>
      </c>
      <c r="C33" s="8">
        <f>B33</f>
        <v>0</v>
      </c>
      <c r="D33" s="8">
        <f>C33</f>
        <v>0</v>
      </c>
      <c r="E33" s="8">
        <f>D33</f>
        <v>0</v>
      </c>
      <c r="F33" s="8">
        <f>E33</f>
        <v>0</v>
      </c>
      <c r="G33" s="25">
        <f>F33</f>
        <v>0</v>
      </c>
    </row>
    <row r="34" spans="1:7">
      <c r="A34" s="6" t="s">
        <v>26</v>
      </c>
      <c r="B34" s="9">
        <f t="shared" ref="B34:G34" si="9">(((B21)+(B29))+(B32))+(B33)</f>
        <v>50907.729999999996</v>
      </c>
      <c r="C34" s="9">
        <f t="shared" si="9"/>
        <v>84270.96</v>
      </c>
      <c r="D34" s="9">
        <f t="shared" si="9"/>
        <v>59396.41</v>
      </c>
      <c r="E34" s="9">
        <f t="shared" si="9"/>
        <v>23592.17</v>
      </c>
      <c r="F34" s="9">
        <f t="shared" si="9"/>
        <v>28601</v>
      </c>
      <c r="G34" s="9">
        <f t="shared" si="9"/>
        <v>62513.08</v>
      </c>
    </row>
    <row r="35" spans="1:7">
      <c r="A35" s="6" t="s">
        <v>27</v>
      </c>
      <c r="B35" s="9">
        <f t="shared" ref="B35:G35" si="10">((B16)+(B19))+(B34)</f>
        <v>203931.90999999997</v>
      </c>
      <c r="C35" s="9">
        <f t="shared" si="10"/>
        <v>274531.77</v>
      </c>
      <c r="D35" s="9">
        <f t="shared" si="10"/>
        <v>342789.69000000006</v>
      </c>
      <c r="E35" s="9">
        <f t="shared" si="10"/>
        <v>290700.64</v>
      </c>
      <c r="F35" s="9">
        <f t="shared" si="10"/>
        <v>564004.23</v>
      </c>
      <c r="G35" s="9">
        <f t="shared" si="10"/>
        <v>567549.04999999993</v>
      </c>
    </row>
    <row r="36" spans="1:7">
      <c r="A36" s="6" t="s">
        <v>193</v>
      </c>
      <c r="B36" s="7"/>
      <c r="C36" s="7"/>
      <c r="D36" s="7"/>
      <c r="E36" s="7"/>
      <c r="F36" s="7"/>
      <c r="G36" s="7"/>
    </row>
    <row r="37" spans="1:7">
      <c r="A37" s="6" t="s">
        <v>194</v>
      </c>
      <c r="B37" s="7"/>
      <c r="C37" s="8">
        <f t="shared" ref="C37:G39" si="11">B37</f>
        <v>0</v>
      </c>
      <c r="D37" s="8">
        <f t="shared" si="11"/>
        <v>0</v>
      </c>
      <c r="E37" s="8">
        <f t="shared" si="11"/>
        <v>0</v>
      </c>
      <c r="F37" s="8">
        <f t="shared" si="11"/>
        <v>0</v>
      </c>
      <c r="G37" s="8">
        <f t="shared" si="11"/>
        <v>0</v>
      </c>
    </row>
    <row r="38" spans="1:7">
      <c r="A38" s="6" t="s">
        <v>195</v>
      </c>
      <c r="B38" s="8">
        <f>0</f>
        <v>0</v>
      </c>
      <c r="C38" s="8">
        <f t="shared" si="11"/>
        <v>0</v>
      </c>
      <c r="D38" s="8">
        <f t="shared" si="11"/>
        <v>0</v>
      </c>
      <c r="E38" s="8">
        <f t="shared" si="11"/>
        <v>0</v>
      </c>
      <c r="F38" s="8">
        <f t="shared" si="11"/>
        <v>0</v>
      </c>
      <c r="G38" s="25">
        <f t="shared" si="11"/>
        <v>0</v>
      </c>
    </row>
    <row r="39" spans="1:7">
      <c r="A39" s="6" t="s">
        <v>196</v>
      </c>
      <c r="B39" s="8">
        <f>0</f>
        <v>0</v>
      </c>
      <c r="C39" s="8">
        <f t="shared" si="11"/>
        <v>0</v>
      </c>
      <c r="D39" s="8">
        <f t="shared" si="11"/>
        <v>0</v>
      </c>
      <c r="E39" s="8">
        <f t="shared" si="11"/>
        <v>0</v>
      </c>
      <c r="F39" s="8">
        <f t="shared" si="11"/>
        <v>0</v>
      </c>
      <c r="G39" s="25">
        <f t="shared" si="11"/>
        <v>0</v>
      </c>
    </row>
    <row r="40" spans="1:7">
      <c r="A40" s="6" t="s">
        <v>197</v>
      </c>
      <c r="B40" s="9">
        <f t="shared" ref="B40:G40" si="12">((B37)+(B38))+(B39)</f>
        <v>0</v>
      </c>
      <c r="C40" s="9">
        <f t="shared" si="12"/>
        <v>0</v>
      </c>
      <c r="D40" s="9">
        <f t="shared" si="12"/>
        <v>0</v>
      </c>
      <c r="E40" s="9">
        <f t="shared" si="12"/>
        <v>0</v>
      </c>
      <c r="F40" s="9">
        <f t="shared" si="12"/>
        <v>0</v>
      </c>
      <c r="G40" s="9">
        <f t="shared" si="12"/>
        <v>0</v>
      </c>
    </row>
    <row r="41" spans="1:7">
      <c r="A41" s="6" t="s">
        <v>198</v>
      </c>
      <c r="B41" s="9">
        <f t="shared" ref="B41:G41" si="13">B40</f>
        <v>0</v>
      </c>
      <c r="C41" s="9">
        <f t="shared" si="13"/>
        <v>0</v>
      </c>
      <c r="D41" s="9">
        <f t="shared" si="13"/>
        <v>0</v>
      </c>
      <c r="E41" s="9">
        <f t="shared" si="13"/>
        <v>0</v>
      </c>
      <c r="F41" s="9">
        <f t="shared" si="13"/>
        <v>0</v>
      </c>
      <c r="G41" s="9">
        <f t="shared" si="13"/>
        <v>0</v>
      </c>
    </row>
    <row r="42" spans="1:7">
      <c r="A42" s="6" t="s">
        <v>28</v>
      </c>
      <c r="B42" s="9">
        <f t="shared" ref="B42:G42" si="14">(B35)+(B41)</f>
        <v>203931.90999999997</v>
      </c>
      <c r="C42" s="9">
        <f t="shared" si="14"/>
        <v>274531.77</v>
      </c>
      <c r="D42" s="9">
        <f t="shared" si="14"/>
        <v>342789.69000000006</v>
      </c>
      <c r="E42" s="9">
        <f t="shared" si="14"/>
        <v>290700.64</v>
      </c>
      <c r="F42" s="9">
        <f t="shared" si="14"/>
        <v>564004.23</v>
      </c>
      <c r="G42" s="9">
        <f t="shared" si="14"/>
        <v>567549.04999999993</v>
      </c>
    </row>
    <row r="43" spans="1:7">
      <c r="A43" s="6" t="s">
        <v>29</v>
      </c>
      <c r="B43" s="7"/>
      <c r="C43" s="7"/>
      <c r="D43" s="7"/>
      <c r="E43" s="7"/>
      <c r="F43" s="7"/>
      <c r="G43" s="7"/>
    </row>
    <row r="44" spans="1:7">
      <c r="A44" s="6" t="s">
        <v>30</v>
      </c>
      <c r="B44" s="7"/>
      <c r="C44" s="7"/>
      <c r="D44" s="7"/>
      <c r="E44" s="7"/>
      <c r="F44" s="7"/>
      <c r="G44" s="7"/>
    </row>
    <row r="45" spans="1:7">
      <c r="A45" s="6" t="s">
        <v>31</v>
      </c>
      <c r="B45" s="7"/>
      <c r="C45" s="7"/>
      <c r="D45" s="7"/>
      <c r="E45" s="7"/>
      <c r="F45" s="7"/>
      <c r="G45" s="7"/>
    </row>
    <row r="46" spans="1:7">
      <c r="A46" s="6" t="s">
        <v>32</v>
      </c>
      <c r="B46" s="7"/>
      <c r="C46" s="7"/>
      <c r="D46" s="7"/>
      <c r="E46" s="7"/>
      <c r="F46" s="7"/>
      <c r="G46" s="7"/>
    </row>
    <row r="47" spans="1:7">
      <c r="A47" s="6" t="s">
        <v>33</v>
      </c>
      <c r="B47" s="8">
        <f>60376.43</f>
        <v>60376.43</v>
      </c>
      <c r="C47" s="8">
        <f>88479.01</f>
        <v>88479.01</v>
      </c>
      <c r="D47" s="8">
        <f>120524.85</f>
        <v>120524.85</v>
      </c>
      <c r="E47" s="8">
        <f>48241.37</f>
        <v>48241.37</v>
      </c>
      <c r="F47" s="8">
        <f>68100.51</f>
        <v>68100.509999999995</v>
      </c>
      <c r="G47" s="19">
        <f>95494.64</f>
        <v>95494.64</v>
      </c>
    </row>
    <row r="48" spans="1:7">
      <c r="A48" s="6" t="s">
        <v>34</v>
      </c>
      <c r="B48" s="9">
        <f t="shared" ref="B48:G48" si="15">B47</f>
        <v>60376.43</v>
      </c>
      <c r="C48" s="9">
        <f t="shared" si="15"/>
        <v>88479.01</v>
      </c>
      <c r="D48" s="9">
        <f t="shared" si="15"/>
        <v>120524.85</v>
      </c>
      <c r="E48" s="9">
        <f t="shared" si="15"/>
        <v>48241.37</v>
      </c>
      <c r="F48" s="9">
        <f t="shared" si="15"/>
        <v>68100.509999999995</v>
      </c>
      <c r="G48" s="9">
        <f t="shared" si="15"/>
        <v>95494.64</v>
      </c>
    </row>
    <row r="49" spans="1:7">
      <c r="A49" s="6" t="s">
        <v>35</v>
      </c>
      <c r="B49" s="7"/>
      <c r="C49" s="7"/>
      <c r="D49" s="7"/>
      <c r="E49" s="7"/>
      <c r="F49" s="7"/>
      <c r="G49" s="7"/>
    </row>
    <row r="50" spans="1:7">
      <c r="A50" s="6" t="s">
        <v>36</v>
      </c>
      <c r="B50" s="7"/>
      <c r="C50" s="8">
        <f>B50</f>
        <v>0</v>
      </c>
      <c r="D50" s="8">
        <f>C50</f>
        <v>0</v>
      </c>
      <c r="E50" s="8">
        <f>D50</f>
        <v>0</v>
      </c>
      <c r="F50" s="8">
        <f>E50</f>
        <v>0</v>
      </c>
      <c r="G50" s="8">
        <f>F50</f>
        <v>0</v>
      </c>
    </row>
    <row r="51" spans="1:7">
      <c r="A51" s="6" t="s">
        <v>37</v>
      </c>
      <c r="B51" s="8">
        <f>6666.84</f>
        <v>6666.84</v>
      </c>
      <c r="C51" s="8">
        <f>10767.43</f>
        <v>10767.43</v>
      </c>
      <c r="D51" s="8">
        <f>4427.99</f>
        <v>4427.99</v>
      </c>
      <c r="E51" s="8">
        <f>5341.73</f>
        <v>5341.73</v>
      </c>
      <c r="F51" s="8">
        <f>432.97</f>
        <v>432.97</v>
      </c>
      <c r="G51" s="25">
        <f>23015.51</f>
        <v>23015.51</v>
      </c>
    </row>
    <row r="52" spans="1:7">
      <c r="A52" s="6" t="s">
        <v>38</v>
      </c>
      <c r="B52" s="8">
        <f>213.92</f>
        <v>213.92</v>
      </c>
      <c r="C52" s="8">
        <f>251.83</f>
        <v>251.83</v>
      </c>
      <c r="D52" s="8">
        <f>77.38</f>
        <v>77.38</v>
      </c>
      <c r="E52" s="8">
        <f>0</f>
        <v>0</v>
      </c>
      <c r="F52" s="8">
        <f>325.33</f>
        <v>325.33</v>
      </c>
      <c r="G52" s="25">
        <f>682.87</f>
        <v>682.87</v>
      </c>
    </row>
    <row r="53" spans="1:7">
      <c r="A53" s="6" t="s">
        <v>39</v>
      </c>
      <c r="B53" s="8">
        <f>5155.9</f>
        <v>5155.8999999999996</v>
      </c>
      <c r="C53" s="8">
        <f>1917.03</f>
        <v>1917.03</v>
      </c>
      <c r="D53" s="8">
        <f>4497.49</f>
        <v>4497.49</v>
      </c>
      <c r="E53" s="8">
        <f>492.86</f>
        <v>492.86</v>
      </c>
      <c r="F53" s="8">
        <f>-62.02</f>
        <v>-62.02</v>
      </c>
      <c r="G53" s="25">
        <f>1421.82</f>
        <v>1421.82</v>
      </c>
    </row>
    <row r="54" spans="1:7">
      <c r="A54" s="6" t="s">
        <v>40</v>
      </c>
      <c r="B54" s="8">
        <f>6898.78</f>
        <v>6898.78</v>
      </c>
      <c r="C54" s="8">
        <f>8523.12</f>
        <v>8523.1200000000008</v>
      </c>
      <c r="D54" s="8">
        <f>13581.64</f>
        <v>13581.64</v>
      </c>
      <c r="E54" s="8">
        <f>5435.43</f>
        <v>5435.43</v>
      </c>
      <c r="F54" s="8">
        <f>9880.39</f>
        <v>9880.39</v>
      </c>
      <c r="G54" s="25">
        <f>3956.94</f>
        <v>3956.94</v>
      </c>
    </row>
    <row r="55" spans="1:7">
      <c r="A55" s="6" t="s">
        <v>199</v>
      </c>
      <c r="B55" s="8">
        <f>0</f>
        <v>0</v>
      </c>
      <c r="C55" s="8">
        <f>B55</f>
        <v>0</v>
      </c>
      <c r="D55" s="8">
        <f>C55</f>
        <v>0</v>
      </c>
      <c r="E55" s="8">
        <f>D55</f>
        <v>0</v>
      </c>
      <c r="F55" s="8">
        <f>E55</f>
        <v>0</v>
      </c>
      <c r="G55" s="25">
        <f>F55</f>
        <v>0</v>
      </c>
    </row>
    <row r="56" spans="1:7">
      <c r="A56" s="6" t="s">
        <v>41</v>
      </c>
      <c r="B56" s="9">
        <f t="shared" ref="B56:G56" si="16">(((((B50)+(B51))+(B52))+(B53))+(B54))+(B55)</f>
        <v>18935.439999999999</v>
      </c>
      <c r="C56" s="9">
        <f t="shared" si="16"/>
        <v>21459.410000000003</v>
      </c>
      <c r="D56" s="9">
        <f t="shared" si="16"/>
        <v>22584.5</v>
      </c>
      <c r="E56" s="9">
        <f t="shared" si="16"/>
        <v>11270.02</v>
      </c>
      <c r="F56" s="9">
        <f t="shared" si="16"/>
        <v>10576.67</v>
      </c>
      <c r="G56" s="9">
        <f t="shared" si="16"/>
        <v>29077.139999999996</v>
      </c>
    </row>
    <row r="57" spans="1:7">
      <c r="A57" s="6" t="s">
        <v>42</v>
      </c>
      <c r="B57" s="9">
        <f t="shared" ref="B57:G57" si="17">B56</f>
        <v>18935.439999999999</v>
      </c>
      <c r="C57" s="9">
        <f t="shared" si="17"/>
        <v>21459.410000000003</v>
      </c>
      <c r="D57" s="9">
        <f t="shared" si="17"/>
        <v>22584.5</v>
      </c>
      <c r="E57" s="9">
        <f t="shared" si="17"/>
        <v>11270.02</v>
      </c>
      <c r="F57" s="9">
        <f t="shared" si="17"/>
        <v>10576.67</v>
      </c>
      <c r="G57" s="9">
        <f t="shared" si="17"/>
        <v>29077.139999999996</v>
      </c>
    </row>
    <row r="58" spans="1:7">
      <c r="A58" s="6" t="s">
        <v>43</v>
      </c>
      <c r="B58" s="7"/>
      <c r="C58" s="7"/>
      <c r="D58" s="7"/>
      <c r="E58" s="7"/>
      <c r="F58" s="7"/>
      <c r="G58" s="7"/>
    </row>
    <row r="59" spans="1:7">
      <c r="A59" s="6" t="s">
        <v>44</v>
      </c>
      <c r="B59" s="7"/>
      <c r="C59" s="8">
        <f>B59</f>
        <v>0</v>
      </c>
      <c r="D59" s="8">
        <f>C59</f>
        <v>0</v>
      </c>
      <c r="E59" s="8">
        <f>D59</f>
        <v>0</v>
      </c>
      <c r="F59" s="8">
        <f>E59</f>
        <v>0</v>
      </c>
      <c r="G59" s="8">
        <f>F59</f>
        <v>0</v>
      </c>
    </row>
    <row r="60" spans="1:7">
      <c r="A60" s="6" t="s">
        <v>45</v>
      </c>
      <c r="B60" s="8">
        <f>1952.86</f>
        <v>1952.86</v>
      </c>
      <c r="C60" s="8">
        <f>1297</f>
        <v>1297</v>
      </c>
      <c r="D60" s="8">
        <f>1297</f>
        <v>1297</v>
      </c>
      <c r="E60" s="8">
        <f>1297</f>
        <v>1297</v>
      </c>
      <c r="F60" s="8">
        <f>932.78</f>
        <v>932.78</v>
      </c>
      <c r="G60" s="25">
        <f>944.32</f>
        <v>944.32</v>
      </c>
    </row>
    <row r="61" spans="1:7">
      <c r="A61" s="6" t="s">
        <v>46</v>
      </c>
      <c r="B61" s="9">
        <f t="shared" ref="B61:G61" si="18">(B59)+(B60)</f>
        <v>1952.86</v>
      </c>
      <c r="C61" s="9">
        <f t="shared" si="18"/>
        <v>1297</v>
      </c>
      <c r="D61" s="9">
        <f t="shared" si="18"/>
        <v>1297</v>
      </c>
      <c r="E61" s="9">
        <f t="shared" si="18"/>
        <v>1297</v>
      </c>
      <c r="F61" s="9">
        <f t="shared" si="18"/>
        <v>932.78</v>
      </c>
      <c r="G61" s="9">
        <f t="shared" si="18"/>
        <v>944.32</v>
      </c>
    </row>
    <row r="62" spans="1:7">
      <c r="A62" s="6" t="s">
        <v>47</v>
      </c>
      <c r="B62" s="8">
        <f>146921.75</f>
        <v>146921.75</v>
      </c>
      <c r="C62" s="8">
        <f>191041.16</f>
        <v>191041.16</v>
      </c>
      <c r="D62" s="8">
        <f>171760.44</f>
        <v>171760.44</v>
      </c>
      <c r="E62" s="8">
        <f>237059.72</f>
        <v>237059.72</v>
      </c>
      <c r="F62" s="8">
        <f>530416.98</f>
        <v>530416.98</v>
      </c>
      <c r="G62" s="25">
        <f>514665.21</f>
        <v>514665.21</v>
      </c>
    </row>
    <row r="63" spans="1:7">
      <c r="A63" s="6" t="s">
        <v>48</v>
      </c>
      <c r="B63" s="7"/>
      <c r="C63" s="8">
        <f>B63</f>
        <v>0</v>
      </c>
      <c r="D63" s="8">
        <f>C63</f>
        <v>0</v>
      </c>
      <c r="E63" s="8">
        <f>D63</f>
        <v>0</v>
      </c>
      <c r="F63" s="8">
        <f>E63</f>
        <v>0</v>
      </c>
      <c r="G63" s="8">
        <f>F63</f>
        <v>0</v>
      </c>
    </row>
    <row r="64" spans="1:7">
      <c r="A64" s="6" t="s">
        <v>49</v>
      </c>
      <c r="B64" s="8">
        <f>2737.63</f>
        <v>2737.63</v>
      </c>
      <c r="C64" s="8">
        <f>156.77</f>
        <v>156.77000000000001</v>
      </c>
      <c r="D64" s="8">
        <f>1629.2</f>
        <v>1629.2</v>
      </c>
      <c r="E64" s="8">
        <f>1550</f>
        <v>1550</v>
      </c>
      <c r="F64" s="8">
        <f>28500.52</f>
        <v>28500.52</v>
      </c>
      <c r="G64" s="19">
        <f>17907.52</f>
        <v>17907.52</v>
      </c>
    </row>
    <row r="65" spans="1:7">
      <c r="A65" s="6" t="s">
        <v>200</v>
      </c>
      <c r="B65" s="8">
        <f>0</f>
        <v>0</v>
      </c>
      <c r="C65" s="8">
        <f>B65</f>
        <v>0</v>
      </c>
      <c r="D65" s="8">
        <f>C65</f>
        <v>0</v>
      </c>
      <c r="E65" s="8">
        <f>D65</f>
        <v>0</v>
      </c>
      <c r="F65" s="8">
        <f>E65</f>
        <v>0</v>
      </c>
      <c r="G65" s="25">
        <f>F65</f>
        <v>0</v>
      </c>
    </row>
    <row r="66" spans="1:7">
      <c r="A66" s="6" t="s">
        <v>50</v>
      </c>
      <c r="B66" s="8">
        <f>7839.78</f>
        <v>7839.78</v>
      </c>
      <c r="C66" s="8">
        <f>10843.27</f>
        <v>10843.27</v>
      </c>
      <c r="D66" s="8">
        <f>15490.31</f>
        <v>15490.31</v>
      </c>
      <c r="E66" s="8">
        <f>15490.33</f>
        <v>15490.33</v>
      </c>
      <c r="F66" s="8">
        <f>0</f>
        <v>0</v>
      </c>
      <c r="G66" s="25">
        <f>8289</f>
        <v>8289</v>
      </c>
    </row>
    <row r="67" spans="1:7">
      <c r="A67" s="6" t="s">
        <v>201</v>
      </c>
      <c r="B67" s="8">
        <f>0</f>
        <v>0</v>
      </c>
      <c r="C67" s="8">
        <f>B67</f>
        <v>0</v>
      </c>
      <c r="D67" s="8">
        <f>C67</f>
        <v>0</v>
      </c>
      <c r="E67" s="8">
        <f>D67</f>
        <v>0</v>
      </c>
      <c r="F67" s="8">
        <f>E67</f>
        <v>0</v>
      </c>
      <c r="G67" s="25">
        <f>F67</f>
        <v>0</v>
      </c>
    </row>
    <row r="68" spans="1:7">
      <c r="A68" s="6" t="s">
        <v>51</v>
      </c>
      <c r="B68" s="9">
        <f t="shared" ref="B68:G68" si="19">((((B63)+(B64))+(B65))+(B66))+(B67)</f>
        <v>10577.41</v>
      </c>
      <c r="C68" s="9">
        <f t="shared" si="19"/>
        <v>11000.04</v>
      </c>
      <c r="D68" s="9">
        <f t="shared" si="19"/>
        <v>17119.509999999998</v>
      </c>
      <c r="E68" s="9">
        <f t="shared" si="19"/>
        <v>17040.330000000002</v>
      </c>
      <c r="F68" s="9">
        <f t="shared" si="19"/>
        <v>28500.52</v>
      </c>
      <c r="G68" s="9">
        <f t="shared" si="19"/>
        <v>26196.52</v>
      </c>
    </row>
    <row r="69" spans="1:7">
      <c r="A69" s="6" t="s">
        <v>52</v>
      </c>
      <c r="B69" s="7"/>
      <c r="C69" s="8">
        <f t="shared" ref="C69:G70" si="20">B69</f>
        <v>0</v>
      </c>
      <c r="D69" s="8">
        <f t="shared" si="20"/>
        <v>0</v>
      </c>
      <c r="E69" s="8">
        <f t="shared" si="20"/>
        <v>0</v>
      </c>
      <c r="F69" s="8">
        <f t="shared" si="20"/>
        <v>0</v>
      </c>
      <c r="G69" s="8">
        <f t="shared" si="20"/>
        <v>0</v>
      </c>
    </row>
    <row r="70" spans="1:7">
      <c r="A70" s="6" t="s">
        <v>202</v>
      </c>
      <c r="B70" s="8">
        <f>0</f>
        <v>0</v>
      </c>
      <c r="C70" s="8">
        <f t="shared" si="20"/>
        <v>0</v>
      </c>
      <c r="D70" s="8">
        <f t="shared" si="20"/>
        <v>0</v>
      </c>
      <c r="E70" s="8">
        <f t="shared" si="20"/>
        <v>0</v>
      </c>
      <c r="F70" s="8">
        <f t="shared" si="20"/>
        <v>0</v>
      </c>
      <c r="G70" s="25">
        <f t="shared" si="20"/>
        <v>0</v>
      </c>
    </row>
    <row r="71" spans="1:7">
      <c r="A71" s="6" t="s">
        <v>53</v>
      </c>
      <c r="B71" s="8">
        <f>52500</f>
        <v>52500</v>
      </c>
      <c r="C71" s="8">
        <f>35000</f>
        <v>35000</v>
      </c>
      <c r="D71" s="8">
        <f>35000</f>
        <v>35000</v>
      </c>
      <c r="E71" s="8">
        <f>35000</f>
        <v>35000</v>
      </c>
      <c r="F71" s="8">
        <f>17500</f>
        <v>17500</v>
      </c>
      <c r="G71" s="25">
        <f>17500</f>
        <v>17500</v>
      </c>
    </row>
    <row r="72" spans="1:7">
      <c r="A72" s="6" t="s">
        <v>203</v>
      </c>
      <c r="B72" s="8">
        <f>0</f>
        <v>0</v>
      </c>
      <c r="C72" s="8">
        <f>B72</f>
        <v>0</v>
      </c>
      <c r="D72" s="8">
        <f>C72</f>
        <v>0</v>
      </c>
      <c r="E72" s="8">
        <f>D72</f>
        <v>0</v>
      </c>
      <c r="F72" s="8">
        <f>E72</f>
        <v>0</v>
      </c>
      <c r="G72" s="25">
        <f>F72</f>
        <v>0</v>
      </c>
    </row>
    <row r="73" spans="1:7">
      <c r="A73" s="6" t="s">
        <v>54</v>
      </c>
      <c r="B73" s="9">
        <f t="shared" ref="B73:G73" si="21">(((B69)+(B70))+(B71))+(B72)</f>
        <v>52500</v>
      </c>
      <c r="C73" s="9">
        <f t="shared" si="21"/>
        <v>35000</v>
      </c>
      <c r="D73" s="9">
        <f t="shared" si="21"/>
        <v>35000</v>
      </c>
      <c r="E73" s="9">
        <f t="shared" si="21"/>
        <v>35000</v>
      </c>
      <c r="F73" s="9">
        <f t="shared" si="21"/>
        <v>17500</v>
      </c>
      <c r="G73" s="9">
        <f t="shared" si="21"/>
        <v>17500</v>
      </c>
    </row>
    <row r="74" spans="1:7">
      <c r="A74" s="6" t="s">
        <v>176</v>
      </c>
      <c r="B74" s="8">
        <f>0</f>
        <v>0</v>
      </c>
      <c r="C74" s="8">
        <f>B74</f>
        <v>0</v>
      </c>
      <c r="D74" s="8">
        <f>C74</f>
        <v>0</v>
      </c>
      <c r="E74" s="8">
        <f>D74</f>
        <v>0</v>
      </c>
      <c r="F74" s="8">
        <f>0</f>
        <v>0</v>
      </c>
      <c r="G74" s="8">
        <f>F74</f>
        <v>0</v>
      </c>
    </row>
    <row r="75" spans="1:7">
      <c r="A75" s="6" t="s">
        <v>55</v>
      </c>
      <c r="B75" s="9">
        <f t="shared" ref="B75:G75" si="22">((((B61)+(B62))+(B68))+(B73))+(B74)</f>
        <v>211952.02</v>
      </c>
      <c r="C75" s="9">
        <f t="shared" si="22"/>
        <v>238338.2</v>
      </c>
      <c r="D75" s="9">
        <f t="shared" si="22"/>
        <v>225176.95</v>
      </c>
      <c r="E75" s="9">
        <f t="shared" si="22"/>
        <v>290397.05</v>
      </c>
      <c r="F75" s="9">
        <f t="shared" si="22"/>
        <v>577350.28</v>
      </c>
      <c r="G75" s="9">
        <f t="shared" si="22"/>
        <v>559306.05000000005</v>
      </c>
    </row>
    <row r="76" spans="1:7">
      <c r="A76" s="6" t="s">
        <v>56</v>
      </c>
      <c r="B76" s="9">
        <f t="shared" ref="B76:G76" si="23">((B48)+(B57))+(B75)</f>
        <v>291263.89</v>
      </c>
      <c r="C76" s="9">
        <f t="shared" si="23"/>
        <v>348276.62</v>
      </c>
      <c r="D76" s="9">
        <f t="shared" si="23"/>
        <v>368286.30000000005</v>
      </c>
      <c r="E76" s="9">
        <f t="shared" si="23"/>
        <v>349908.44</v>
      </c>
      <c r="F76" s="9">
        <f t="shared" si="23"/>
        <v>656027.46</v>
      </c>
      <c r="G76" s="9">
        <f t="shared" si="23"/>
        <v>683877.83000000007</v>
      </c>
    </row>
    <row r="77" spans="1:7">
      <c r="A77" s="6" t="s">
        <v>57</v>
      </c>
      <c r="B77" s="9">
        <f t="shared" ref="B77:G77" si="24">B76</f>
        <v>291263.89</v>
      </c>
      <c r="C77" s="9">
        <f t="shared" si="24"/>
        <v>348276.62</v>
      </c>
      <c r="D77" s="9">
        <f t="shared" si="24"/>
        <v>368286.30000000005</v>
      </c>
      <c r="E77" s="9">
        <f t="shared" si="24"/>
        <v>349908.44</v>
      </c>
      <c r="F77" s="9">
        <f t="shared" si="24"/>
        <v>656027.46</v>
      </c>
      <c r="G77" s="9">
        <f t="shared" si="24"/>
        <v>683877.83000000007</v>
      </c>
    </row>
    <row r="78" spans="1:7">
      <c r="A78" s="6" t="s">
        <v>58</v>
      </c>
      <c r="B78" s="7"/>
      <c r="C78" s="7"/>
      <c r="D78" s="7"/>
      <c r="E78" s="7"/>
      <c r="F78" s="7"/>
      <c r="G78" s="7"/>
    </row>
    <row r="79" spans="1:7">
      <c r="A79" s="6" t="s">
        <v>59</v>
      </c>
      <c r="B79" s="8">
        <f>0</f>
        <v>0</v>
      </c>
      <c r="C79" s="8">
        <f t="shared" ref="C79:G80" si="25">B79</f>
        <v>0</v>
      </c>
      <c r="D79" s="8">
        <f t="shared" si="25"/>
        <v>0</v>
      </c>
      <c r="E79" s="8">
        <f t="shared" si="25"/>
        <v>0</v>
      </c>
      <c r="F79" s="8">
        <f t="shared" si="25"/>
        <v>0</v>
      </c>
      <c r="G79" s="25">
        <f t="shared" si="25"/>
        <v>0</v>
      </c>
    </row>
    <row r="80" spans="1:7">
      <c r="A80" s="6" t="s">
        <v>204</v>
      </c>
      <c r="B80" s="8">
        <f>0</f>
        <v>0</v>
      </c>
      <c r="C80" s="8">
        <f t="shared" si="25"/>
        <v>0</v>
      </c>
      <c r="D80" s="8">
        <f t="shared" si="25"/>
        <v>0</v>
      </c>
      <c r="E80" s="8">
        <f t="shared" si="25"/>
        <v>0</v>
      </c>
      <c r="F80" s="8">
        <f t="shared" si="25"/>
        <v>0</v>
      </c>
      <c r="G80" s="25">
        <f t="shared" si="25"/>
        <v>0</v>
      </c>
    </row>
    <row r="81" spans="1:7">
      <c r="A81" s="6" t="s">
        <v>60</v>
      </c>
      <c r="B81" s="8">
        <f>-100172</f>
        <v>-100172</v>
      </c>
      <c r="C81" s="8">
        <f>-103956.71</f>
        <v>-103956.71</v>
      </c>
      <c r="D81" s="8">
        <f>-109504.66</f>
        <v>-109504.66</v>
      </c>
      <c r="E81" s="8">
        <f>-120059.66</f>
        <v>-120059.66</v>
      </c>
      <c r="F81" s="8">
        <f>-125614.66</f>
        <v>-125614.66</v>
      </c>
      <c r="G81" s="19">
        <f>-20555</f>
        <v>-20555</v>
      </c>
    </row>
    <row r="82" spans="1:7">
      <c r="A82" s="6" t="s">
        <v>205</v>
      </c>
      <c r="B82" s="8">
        <f>0</f>
        <v>0</v>
      </c>
      <c r="C82" s="8">
        <f>0</f>
        <v>0</v>
      </c>
      <c r="D82" s="8">
        <f>0</f>
        <v>0</v>
      </c>
      <c r="E82" s="8">
        <f>0</f>
        <v>0</v>
      </c>
      <c r="F82" s="8">
        <f>0</f>
        <v>0</v>
      </c>
      <c r="G82" s="25">
        <f>0</f>
        <v>0</v>
      </c>
    </row>
    <row r="83" spans="1:7">
      <c r="A83" s="6" t="s">
        <v>61</v>
      </c>
      <c r="B83" s="9">
        <f t="shared" ref="B83:G83" si="26">(((B79)+(B80))+(B81))+(B82)</f>
        <v>-100172</v>
      </c>
      <c r="C83" s="9">
        <f t="shared" si="26"/>
        <v>-103956.71</v>
      </c>
      <c r="D83" s="9">
        <f t="shared" si="26"/>
        <v>-109504.66</v>
      </c>
      <c r="E83" s="9">
        <f t="shared" si="26"/>
        <v>-120059.66</v>
      </c>
      <c r="F83" s="9">
        <f t="shared" si="26"/>
        <v>-125614.66</v>
      </c>
      <c r="G83" s="9">
        <f t="shared" si="26"/>
        <v>-20555</v>
      </c>
    </row>
    <row r="84" spans="1:7">
      <c r="A84" s="6" t="s">
        <v>62</v>
      </c>
      <c r="B84" s="8">
        <f>-154564</f>
        <v>-154564</v>
      </c>
      <c r="C84" s="8">
        <f>B84</f>
        <v>-154564</v>
      </c>
      <c r="D84" s="8">
        <f>C84</f>
        <v>-154564</v>
      </c>
      <c r="E84" s="8">
        <f>D84</f>
        <v>-154564</v>
      </c>
      <c r="F84" s="8">
        <f>E84</f>
        <v>-154564</v>
      </c>
      <c r="G84" s="25">
        <f>F84</f>
        <v>-154564</v>
      </c>
    </row>
    <row r="85" spans="1:7">
      <c r="A85" s="6" t="s">
        <v>63</v>
      </c>
      <c r="B85" s="8">
        <f>-24551.88</f>
        <v>-24551.88</v>
      </c>
      <c r="C85" s="8">
        <f>B85</f>
        <v>-24551.88</v>
      </c>
      <c r="D85" s="8">
        <f>C85</f>
        <v>-24551.88</v>
      </c>
      <c r="E85" s="8">
        <f>D85</f>
        <v>-24551.88</v>
      </c>
      <c r="F85" s="8">
        <f>E85</f>
        <v>-24551.88</v>
      </c>
      <c r="G85" s="19">
        <f>62540.77</f>
        <v>62540.77</v>
      </c>
    </row>
    <row r="86" spans="1:7">
      <c r="A86" s="6" t="s">
        <v>64</v>
      </c>
      <c r="B86" s="8">
        <f>191955.9</f>
        <v>191955.9</v>
      </c>
      <c r="C86" s="8">
        <f>209327.74</f>
        <v>209327.74</v>
      </c>
      <c r="D86" s="8">
        <f>263123.93</f>
        <v>263123.93</v>
      </c>
      <c r="E86" s="8">
        <f>239967.74</f>
        <v>239967.74</v>
      </c>
      <c r="F86" s="8">
        <f>212707.31</f>
        <v>212707.31</v>
      </c>
      <c r="G86" s="8">
        <f>-3750.55</f>
        <v>-3750.55</v>
      </c>
    </row>
    <row r="87" spans="1:7">
      <c r="A87" s="6" t="s">
        <v>65</v>
      </c>
      <c r="B87" s="9">
        <f t="shared" ref="B87:G87" si="27">(((B83)+(B84))+(B85))+(B86)</f>
        <v>-87331.98000000001</v>
      </c>
      <c r="C87" s="9">
        <f t="shared" si="27"/>
        <v>-73744.850000000035</v>
      </c>
      <c r="D87" s="9">
        <f t="shared" si="27"/>
        <v>-25496.610000000044</v>
      </c>
      <c r="E87" s="9">
        <f t="shared" si="27"/>
        <v>-59207.800000000047</v>
      </c>
      <c r="F87" s="9">
        <f t="shared" si="27"/>
        <v>-92023.23000000004</v>
      </c>
      <c r="G87" s="9">
        <f t="shared" si="27"/>
        <v>-116328.78000000001</v>
      </c>
    </row>
    <row r="88" spans="1:7">
      <c r="A88" s="6" t="s">
        <v>66</v>
      </c>
      <c r="B88" s="9">
        <f t="shared" ref="B88:G88" si="28">(B77)+(B87)</f>
        <v>203931.91</v>
      </c>
      <c r="C88" s="9">
        <f t="shared" si="28"/>
        <v>274531.76999999996</v>
      </c>
      <c r="D88" s="9">
        <f t="shared" si="28"/>
        <v>342789.69</v>
      </c>
      <c r="E88" s="9">
        <f t="shared" si="28"/>
        <v>290700.63999999996</v>
      </c>
      <c r="F88" s="9">
        <f t="shared" si="28"/>
        <v>564004.23</v>
      </c>
      <c r="G88" s="9">
        <f t="shared" si="28"/>
        <v>567549.05000000005</v>
      </c>
    </row>
    <row r="89" spans="1:7">
      <c r="A89" s="6"/>
      <c r="B89" s="7"/>
      <c r="C89" s="7"/>
      <c r="D89" s="7"/>
      <c r="E89" s="7"/>
      <c r="F89" s="7"/>
      <c r="G89" s="7"/>
    </row>
    <row r="92" spans="1:7">
      <c r="A92" s="12" t="s">
        <v>206</v>
      </c>
      <c r="B92" s="13"/>
      <c r="C92" s="13"/>
      <c r="D92" s="13"/>
      <c r="E92" s="13"/>
      <c r="F92" s="13"/>
      <c r="G92" s="13"/>
    </row>
  </sheetData>
  <mergeCells count="4">
    <mergeCell ref="A92:G92"/>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788E-FC2C-4EDD-AE32-B0906FBD70E2}">
  <dimension ref="A1:J111"/>
  <sheetViews>
    <sheetView tabSelected="true" topLeftCell="A3" workbookViewId="0">
      <selection activeCell="M34" sqref="M34"/>
    </sheetView>
  </sheetViews>
  <sheetFormatPr defaultRowHeight="14.4"/>
  <cols>
    <col customWidth="true" max="1" min="1" width="38.6640625"/>
    <col customWidth="true" max="4" min="2" width="10.33203125"/>
    <col customWidth="true" max="6" min="5" width="11.21875"/>
    <col customWidth="true" max="8" min="7" width="10.33203125"/>
    <col customWidth="true" max="9" min="9" style="1" width="40.77734375"/>
    <col bestFit="true" customWidth="true" max="10" min="10" width="9.77734375"/>
  </cols>
  <sheetData>
    <row r="1" spans="1:9" ht="17.4">
      <c r="A1" s="16" t="s">
        <v>67</v>
      </c>
      <c r="B1" s="13"/>
      <c r="C1" s="13"/>
      <c r="D1" s="13"/>
      <c r="E1" s="13"/>
      <c r="F1" s="13"/>
      <c r="G1" s="13"/>
      <c r="H1" s="13"/>
    </row>
    <row r="2" spans="1:9" ht="17.4">
      <c r="A2" s="16" t="s">
        <v>69</v>
      </c>
      <c r="B2" s="13"/>
      <c r="C2" s="13"/>
      <c r="D2" s="13"/>
      <c r="E2" s="13"/>
      <c r="F2" s="13"/>
      <c r="G2" s="13"/>
      <c r="H2" s="13"/>
    </row>
    <row r="3" spans="1:9">
      <c r="A3" s="17" t="s">
        <v>178</v>
      </c>
      <c r="B3" s="13"/>
      <c r="C3" s="13"/>
      <c r="D3" s="13"/>
      <c r="E3" s="13"/>
      <c r="F3" s="13"/>
      <c r="G3" s="13"/>
      <c r="H3" s="13"/>
    </row>
    <row r="5">
      <c r="A5" s="20" t="s">
        <v>210</v>
      </c>
      <c r="B5" s="21">
        <v>21</v>
      </c>
      <c r="C5" s="21">
        <v>22</v>
      </c>
      <c r="D5" s="21">
        <v>23</v>
      </c>
      <c r="E5" s="21">
        <v>20</v>
      </c>
      <c r="F5" s="21">
        <v>23</v>
      </c>
      <c r="G5" s="21">
        <v>22</v>
      </c>
    </row>
    <row r="6">
      <c r="A6" s="20" t="s">
        <v>210</v>
      </c>
      <c r="B6" s="21">
        <v>21</v>
      </c>
      <c r="C6" s="21">
        <v>22</v>
      </c>
      <c r="D6" s="21">
        <v>23</v>
      </c>
      <c r="E6" s="21">
        <v>20</v>
      </c>
      <c r="F6" s="21">
        <v>23</v>
      </c>
      <c r="G6" s="21">
        <v>22</v>
      </c>
    </row>
    <row r="7" spans="1:9">
      <c r="A7" s="1"/>
      <c r="B7" s="3" t="s">
        <v>0</v>
      </c>
      <c r="C7" s="3" t="s">
        <v>1</v>
      </c>
      <c r="D7" s="3" t="s">
        <v>2</v>
      </c>
      <c r="E7" s="3" t="s">
        <v>3</v>
      </c>
      <c r="F7" s="3" t="s">
        <v>4</v>
      </c>
      <c r="G7" s="18" t="s">
        <v>175</v>
      </c>
      <c r="H7" s="3" t="s">
        <v>70</v>
      </c>
      <c r="I7" s="3" t="s">
        <v>172</v>
      </c>
    </row>
    <row r="8" spans="1:9">
      <c r="A8" s="6" t="s">
        <v>71</v>
      </c>
      <c r="B8" s="7"/>
      <c r="C8" s="7"/>
      <c r="D8" s="7"/>
      <c r="E8" s="7"/>
      <c r="F8" s="7"/>
      <c r="G8" s="7"/>
      <c r="H8" s="7"/>
    </row>
    <row r="9" spans="1:9">
      <c r="A9" s="6" t="s">
        <v>72</v>
      </c>
      <c r="B9" s="7"/>
      <c r="C9" s="7"/>
      <c r="D9" s="7"/>
      <c r="E9" s="7"/>
      <c r="F9" s="7"/>
      <c r="G9" s="7"/>
      <c r="H9" s="8">
        <f t="shared" ref="H9:H14" si="0">(((((B9)+(C9))+(D9))+(E9))+(F9))+(G9)</f>
        <v>0</v>
      </c>
    </row>
    <row r="10" spans="1:9">
      <c r="A10" s="6" t="s">
        <v>179</v>
      </c>
      <c r="B10" s="8">
        <f>15817.95</f>
        <v>15817.95</v>
      </c>
      <c r="C10" s="8">
        <f>17849.9</f>
        <v>17849.9</v>
      </c>
      <c r="D10" s="8">
        <f>39630.72</f>
        <v>39630.72</v>
      </c>
      <c r="E10" s="8">
        <f>7806.17</f>
        <v>7806.17</v>
      </c>
      <c r="F10" s="8">
        <f>25346.5</f>
        <v>25346.5</v>
      </c>
      <c r="G10" s="22">
        <f>45036.41</f>
        <v>45036.41</v>
      </c>
      <c r="H10" s="8">
        <f t="shared" si="0"/>
        <v>151487.65</v>
      </c>
    </row>
    <row r="11" spans="1:9">
      <c r="A11" s="6" t="s">
        <v>73</v>
      </c>
      <c r="B11" s="8">
        <f>35015.79</f>
        <v>35015.79</v>
      </c>
      <c r="C11" s="8">
        <f>82849.61</f>
        <v>82849.61</v>
      </c>
      <c r="D11" s="8">
        <f>73596.29</f>
        <v>73596.29</v>
      </c>
      <c r="E11" s="8">
        <f>45046.41</f>
        <v>45046.41</v>
      </c>
      <c r="F11" s="8">
        <f>61875.9</f>
        <v>61875.9</v>
      </c>
      <c r="G11" s="8">
        <f>70720.17</f>
        <v>70720.17</v>
      </c>
      <c r="H11" s="8">
        <f t="shared" si="0"/>
        <v>369104.17</v>
      </c>
    </row>
    <row r="12" spans="1:9">
      <c r="A12" s="6" t="s">
        <v>74</v>
      </c>
      <c r="B12" s="8">
        <f>68071.75</f>
        <v>68071.75</v>
      </c>
      <c r="C12" s="8">
        <f>77012.5</f>
        <v>77012.5</v>
      </c>
      <c r="D12" s="8">
        <f>142008.73</f>
        <v>142008.73</v>
      </c>
      <c r="E12" s="8">
        <f>32257.5</f>
        <v>32257.5</v>
      </c>
      <c r="F12" s="8">
        <f>42783.99</f>
        <v>42783.99</v>
      </c>
      <c r="G12" s="22">
        <f>53035.5</f>
        <v>53035.5</v>
      </c>
      <c r="H12" s="8">
        <f t="shared" si="0"/>
        <v>415169.97</v>
      </c>
    </row>
    <row r="13" spans="1:9">
      <c r="A13" s="6" t="s">
        <v>75</v>
      </c>
      <c r="B13" s="9">
        <f t="shared" ref="B13:G13" si="1">(((B9)+(B10))+(B11))+(B12)</f>
        <v>118905.49</v>
      </c>
      <c r="C13" s="9">
        <f t="shared" si="1"/>
        <v>177712.01</v>
      </c>
      <c r="D13" s="9">
        <f t="shared" si="1"/>
        <v>255235.74</v>
      </c>
      <c r="E13" s="9">
        <f t="shared" si="1"/>
        <v>85110.08</v>
      </c>
      <c r="F13" s="9">
        <f t="shared" si="1"/>
        <v>130006.39</v>
      </c>
      <c r="G13" s="11">
        <f t="shared" si="1"/>
        <v>168792.08</v>
      </c>
      <c r="H13" s="9">
        <f t="shared" si="0"/>
        <v>935761.79</v>
      </c>
      <c r="I13" s="4" t="s">
        <v>173</v>
      </c>
    </row>
    <row r="14" spans="1:9">
      <c r="A14" s="6" t="s">
        <v>76</v>
      </c>
      <c r="B14" s="9">
        <f t="shared" ref="B14:G14" si="2">B13</f>
        <v>118905.49</v>
      </c>
      <c r="C14" s="9">
        <f t="shared" si="2"/>
        <v>177712.01</v>
      </c>
      <c r="D14" s="9">
        <f t="shared" si="2"/>
        <v>255235.74</v>
      </c>
      <c r="E14" s="9">
        <f t="shared" si="2"/>
        <v>85110.08</v>
      </c>
      <c r="F14" s="9">
        <f t="shared" si="2"/>
        <v>130006.39</v>
      </c>
      <c r="G14" s="9">
        <f t="shared" si="2"/>
        <v>168792.08</v>
      </c>
      <c r="H14" s="9">
        <f t="shared" si="0"/>
        <v>935761.79</v>
      </c>
    </row>
    <row r="15" spans="1:9">
      <c r="A15" s="6" t="s">
        <v>77</v>
      </c>
      <c r="B15" s="7"/>
      <c r="C15" s="7"/>
      <c r="D15" s="7"/>
      <c r="E15" s="7"/>
      <c r="F15" s="7"/>
      <c r="G15" s="7"/>
      <c r="H15" s="7"/>
    </row>
    <row r="16" spans="1:9">
      <c r="A16" s="6" t="s">
        <v>78</v>
      </c>
      <c r="B16" s="7"/>
      <c r="C16" s="7"/>
      <c r="D16" s="7"/>
      <c r="E16" s="7"/>
      <c r="F16" s="7"/>
      <c r="G16" s="7"/>
      <c r="H16" s="8">
        <f t="shared" ref="H16:H24" si="3">(((((B16)+(C16))+(D16))+(E16))+(F16))+(G16)</f>
        <v>0</v>
      </c>
    </row>
    <row r="17" spans="1:9">
      <c r="A17" s="6" t="s">
        <v>79</v>
      </c>
      <c r="B17" s="8">
        <f>54290.39</f>
        <v>54290.39</v>
      </c>
      <c r="C17" s="8">
        <f>84038.81</f>
        <v>84038.81</v>
      </c>
      <c r="D17" s="8">
        <f>117282.39</f>
        <v>117282.39</v>
      </c>
      <c r="E17" s="8">
        <f>41380.87</f>
        <v>41380.87</v>
      </c>
      <c r="F17" s="8">
        <f>58786.46</f>
        <v>58786.46</v>
      </c>
      <c r="G17" s="8">
        <f>80330.01</f>
        <v>80330.01</v>
      </c>
      <c r="H17" s="8">
        <f t="shared" si="3"/>
        <v>436108.93</v>
      </c>
    </row>
    <row r="18" spans="1:9">
      <c r="A18" s="6" t="s">
        <v>80</v>
      </c>
      <c r="B18" s="7"/>
      <c r="C18" s="7"/>
      <c r="D18" s="8">
        <f>2282.5</f>
        <v>2282.5</v>
      </c>
      <c r="E18" s="8">
        <f>2510.9</f>
        <v>2510.9</v>
      </c>
      <c r="F18" s="8">
        <f>2510.9</f>
        <v>2510.9</v>
      </c>
      <c r="G18" s="22">
        <f>3214.22</f>
        <v>3214.22</v>
      </c>
      <c r="H18" s="8">
        <f t="shared" si="3"/>
        <v>10518.52</v>
      </c>
      <c r="I18" s="4" t="s">
        <v>174</v>
      </c>
    </row>
    <row r="19" spans="1:10">
      <c r="A19" s="6" t="s">
        <v>81</v>
      </c>
      <c r="B19" s="8">
        <f>278</f>
        <v>278</v>
      </c>
      <c r="C19" s="7"/>
      <c r="D19" s="7"/>
      <c r="E19" s="7"/>
      <c r="F19" s="8">
        <f>276</f>
        <v>276</v>
      </c>
      <c r="G19" s="7"/>
      <c r="H19" s="8">
        <f t="shared" si="3"/>
        <v>554</v>
      </c>
    </row>
    <row r="20" spans="1:10">
      <c r="A20" s="6" t="s">
        <v>82</v>
      </c>
      <c r="B20" s="8">
        <f>479.33</f>
        <v>479.33</v>
      </c>
      <c r="C20" s="7"/>
      <c r="D20" s="7"/>
      <c r="E20" s="8">
        <f>563</f>
        <v>563</v>
      </c>
      <c r="F20" s="7"/>
      <c r="G20" s="23"/>
      <c r="H20" s="8">
        <f t="shared" si="3"/>
        <v>1042.33</v>
      </c>
    </row>
    <row r="21" spans="1:10">
      <c r="A21" s="6" t="s">
        <v>83</v>
      </c>
      <c r="B21" s="7"/>
      <c r="C21" s="7"/>
      <c r="D21" s="8">
        <f>580.69</f>
        <v>580.69</v>
      </c>
      <c r="E21" s="7"/>
      <c r="F21" s="8">
        <f>-552.76</f>
        <v>-552.76</v>
      </c>
      <c r="G21" s="23"/>
      <c r="H21" s="8">
        <f t="shared" si="3"/>
        <v>27.9300000000001</v>
      </c>
      <c r="I21" s="4"/>
    </row>
    <row r="22" spans="1:10">
      <c r="A22" s="6" t="s">
        <v>84</v>
      </c>
      <c r="B22" s="9">
        <f t="shared" ref="B22:G22" si="4">(((((B16)+(B17))+(B18))+(B19))+(B20))+(B21)</f>
        <v>55047.72</v>
      </c>
      <c r="C22" s="9">
        <f t="shared" si="4"/>
        <v>84038.81</v>
      </c>
      <c r="D22" s="9">
        <f t="shared" si="4"/>
        <v>120145.58</v>
      </c>
      <c r="E22" s="9">
        <f t="shared" si="4"/>
        <v>44454.77</v>
      </c>
      <c r="F22" s="9">
        <f t="shared" si="4"/>
        <v>61020.6</v>
      </c>
      <c r="G22" s="9">
        <f t="shared" si="4"/>
        <v>83544.23</v>
      </c>
      <c r="H22" s="9">
        <f t="shared" si="3"/>
        <v>448251.71</v>
      </c>
    </row>
    <row r="23" spans="1:10">
      <c r="A23" s="6" t="s">
        <v>85</v>
      </c>
      <c r="B23" s="9">
        <f t="shared" ref="B23:G23" si="5">B22</f>
        <v>55047.72</v>
      </c>
      <c r="C23" s="9">
        <f t="shared" si="5"/>
        <v>84038.81</v>
      </c>
      <c r="D23" s="9">
        <f t="shared" si="5"/>
        <v>120145.58</v>
      </c>
      <c r="E23" s="9">
        <f t="shared" si="5"/>
        <v>44454.77</v>
      </c>
      <c r="F23" s="9">
        <f t="shared" si="5"/>
        <v>61020.6</v>
      </c>
      <c r="G23" s="9">
        <f t="shared" si="5"/>
        <v>83544.23</v>
      </c>
      <c r="H23" s="9">
        <f t="shared" si="3"/>
        <v>448251.71</v>
      </c>
    </row>
    <row r="24" spans="1:10">
      <c r="A24" s="6" t="s">
        <v>86</v>
      </c>
      <c r="B24" s="9">
        <f t="shared" ref="B24:G24" si="6">(B14)-(B23)</f>
        <v>63857.77</v>
      </c>
      <c r="C24" s="9">
        <f t="shared" si="6"/>
        <v>93673.2</v>
      </c>
      <c r="D24" s="9">
        <f t="shared" si="6"/>
        <v>135090.16</v>
      </c>
      <c r="E24" s="9">
        <f t="shared" si="6"/>
        <v>40655.31</v>
      </c>
      <c r="F24" s="9">
        <f t="shared" si="6"/>
        <v>68985.79</v>
      </c>
      <c r="G24" s="9">
        <f t="shared" si="6"/>
        <v>85247.85</v>
      </c>
      <c r="H24" s="9">
        <f t="shared" si="3"/>
        <v>487510.08</v>
      </c>
    </row>
    <row r="25" spans="1:10">
      <c r="A25" s="6" t="s">
        <v>87</v>
      </c>
      <c r="B25" s="7"/>
      <c r="C25" s="7"/>
      <c r="D25" s="7"/>
      <c r="E25" s="7"/>
      <c r="F25" s="7"/>
      <c r="G25" s="7"/>
      <c r="H25" s="7"/>
    </row>
    <row r="26" spans="1:10">
      <c r="A26" s="6" t="s">
        <v>88</v>
      </c>
      <c r="B26" s="7"/>
      <c r="C26" s="7"/>
      <c r="D26" s="7"/>
      <c r="E26" s="7"/>
      <c r="F26" s="7"/>
      <c r="G26" s="7"/>
      <c r="H26" s="8">
        <f t="shared" ref="H26:H89" si="7">(((((B26)+(C26))+(D26))+(E26))+(F26))+(G26)</f>
        <v>0</v>
      </c>
    </row>
    <row r="27" spans="1:10">
      <c r="A27" s="6" t="s">
        <v>89</v>
      </c>
      <c r="B27" s="8">
        <f>8400</f>
        <v>8400</v>
      </c>
      <c r="C27" s="8">
        <f>8700</f>
        <v>8700</v>
      </c>
      <c r="D27" s="8">
        <f>8360</f>
        <v>8360</v>
      </c>
      <c r="E27" s="8">
        <f>7912.5</f>
        <v>7912.5</v>
      </c>
      <c r="F27" s="8">
        <f>7912.5</f>
        <v>7912.5</v>
      </c>
      <c r="G27" s="22">
        <f>11862.5</f>
        <v>11862.5</v>
      </c>
      <c r="H27" s="8">
        <f t="shared" si="7"/>
        <v>53147.5</v>
      </c>
      <c r="I27" s="4" t="s">
        <v>181</v>
      </c>
    </row>
    <row r="28" spans="1:10">
      <c r="A28" s="6" t="s">
        <v>90</v>
      </c>
      <c r="B28" s="8">
        <f>20642.3</f>
        <v>20642.3</v>
      </c>
      <c r="C28" s="8">
        <f>22124.9</f>
        <v>22124.9</v>
      </c>
      <c r="D28" s="8">
        <f>22442.1</f>
        <v>22442.1</v>
      </c>
      <c r="E28" s="8">
        <f>18345.82</f>
        <v>18345.82</v>
      </c>
      <c r="F28" s="8">
        <f>18345.82</f>
        <v>18345.82</v>
      </c>
      <c r="G28" s="10">
        <f>24096.35</f>
        <v>24096.35</v>
      </c>
      <c r="H28" s="8">
        <f t="shared" si="7"/>
        <v>125997.29</v>
      </c>
      <c r="I28" s="4" t="s">
        <v>182</v>
      </c>
    </row>
    <row r="29" spans="1:10">
      <c r="A29" s="6" t="s">
        <v>91</v>
      </c>
      <c r="B29" s="8">
        <f>2624.61</f>
        <v>2624.61</v>
      </c>
      <c r="C29" s="8">
        <f>2560.01</f>
        <v>2560.01</v>
      </c>
      <c r="D29" s="8">
        <f>2543.11</f>
        <v>2543.11</v>
      </c>
      <c r="E29" s="8">
        <f>2211.45</f>
        <v>2211.45</v>
      </c>
      <c r="F29" s="8">
        <f>2974.76</f>
        <v>2974.76</v>
      </c>
      <c r="G29" s="22">
        <f>5383.17</f>
        <v>5383.17</v>
      </c>
      <c r="H29" s="8">
        <f t="shared" si="7"/>
        <v>18297.11</v>
      </c>
      <c r="I29" s="4"/>
      <c r="J29" s="2"/>
    </row>
    <row r="30" spans="1:10">
      <c r="A30" s="6" t="s">
        <v>92</v>
      </c>
      <c r="B30" s="8">
        <f>175.16</f>
        <v>175.16</v>
      </c>
      <c r="C30" s="8">
        <f>175.16</f>
        <v>175.16</v>
      </c>
      <c r="D30" s="8">
        <f>175.16</f>
        <v>175.16</v>
      </c>
      <c r="E30" s="8">
        <f>452.08</f>
        <v>452.08</v>
      </c>
      <c r="F30" s="8">
        <f>-618.88</f>
        <v>-618.88</v>
      </c>
      <c r="G30" s="22">
        <f>743.75</f>
        <v>743.75</v>
      </c>
      <c r="H30" s="8">
        <f t="shared" si="7"/>
        <v>1102.43</v>
      </c>
    </row>
    <row r="31" spans="1:10">
      <c r="A31" s="6" t="s">
        <v>93</v>
      </c>
      <c r="B31" s="7"/>
      <c r="C31" s="7"/>
      <c r="D31" s="7"/>
      <c r="E31" s="7"/>
      <c r="F31" s="8">
        <f>26000</f>
        <v>26000</v>
      </c>
      <c r="G31" s="22">
        <f>2000</f>
        <v>2000</v>
      </c>
      <c r="H31" s="8">
        <f t="shared" si="7"/>
        <v>28000</v>
      </c>
      <c r="I31" s="4"/>
    </row>
    <row r="32" spans="1:10">
      <c r="A32" s="6" t="s">
        <v>94</v>
      </c>
      <c r="B32" s="8">
        <f>140</f>
        <v>140</v>
      </c>
      <c r="C32" s="8">
        <f>140</f>
        <v>140</v>
      </c>
      <c r="D32" s="8">
        <f>300.47</f>
        <v>300.47</v>
      </c>
      <c r="E32" s="8">
        <f>140</f>
        <v>140</v>
      </c>
      <c r="F32" s="8">
        <f>140</f>
        <v>140</v>
      </c>
      <c r="G32" s="22">
        <f>140</f>
        <v>140</v>
      </c>
      <c r="H32" s="8">
        <f t="shared" si="7"/>
        <v>1000.47</v>
      </c>
      <c r="I32" s="4"/>
    </row>
    <row r="33" spans="1:10">
      <c r="A33" s="6" t="s">
        <v>95</v>
      </c>
      <c r="B33" s="8">
        <f>276.92</f>
        <v>276.92</v>
      </c>
      <c r="C33" s="8">
        <f>138.46</f>
        <v>138.46</v>
      </c>
      <c r="D33" s="8">
        <f>138.46</f>
        <v>138.46</v>
      </c>
      <c r="E33" s="8">
        <f>138.46</f>
        <v>138.46</v>
      </c>
      <c r="F33" s="8">
        <f>207.69</f>
        <v>207.69</v>
      </c>
      <c r="G33" s="22">
        <f>138.46</f>
        <v>138.46</v>
      </c>
      <c r="H33" s="8">
        <f t="shared" si="7"/>
        <v>1038.45</v>
      </c>
    </row>
    <row r="34" spans="1:10">
      <c r="A34" s="6" t="s">
        <v>96</v>
      </c>
      <c r="B34" s="9">
        <f t="shared" ref="B34:G34" si="8">(((((((B26)+(B27))+(B28))+(B29))+(B30))+(B31))+(B32))+(B33)</f>
        <v>32258.99</v>
      </c>
      <c r="C34" s="9">
        <f t="shared" si="8"/>
        <v>33838.53</v>
      </c>
      <c r="D34" s="9">
        <f t="shared" si="8"/>
        <v>33959.3</v>
      </c>
      <c r="E34" s="9">
        <f t="shared" si="8"/>
        <v>29200.31</v>
      </c>
      <c r="F34" s="9">
        <f t="shared" si="8"/>
        <v>54961.89</v>
      </c>
      <c r="G34" s="9">
        <f t="shared" si="8"/>
        <v>44364.23</v>
      </c>
      <c r="H34" s="9">
        <f t="shared" si="7"/>
        <v>228583.25</v>
      </c>
    </row>
    <row r="35" spans="1:9">
      <c r="A35" s="6" t="s">
        <v>97</v>
      </c>
      <c r="B35" s="7"/>
      <c r="C35" s="7"/>
      <c r="D35" s="7"/>
      <c r="E35" s="7"/>
      <c r="F35" s="7"/>
      <c r="G35" s="7"/>
      <c r="H35" s="8">
        <f t="shared" si="7"/>
        <v>0</v>
      </c>
    </row>
    <row r="36" spans="1:9">
      <c r="A36" s="6" t="s">
        <v>98</v>
      </c>
      <c r="B36" s="8">
        <f>884</f>
        <v>884</v>
      </c>
      <c r="C36" s="8">
        <f>159</f>
        <v>159</v>
      </c>
      <c r="D36" s="8">
        <f>2739.65</f>
        <v>2739.65</v>
      </c>
      <c r="E36" s="8">
        <f>2466.75</f>
        <v>2466.75</v>
      </c>
      <c r="F36" s="8">
        <f>1282.5</f>
        <v>1282.5</v>
      </c>
      <c r="G36" s="22">
        <f>2110.2</f>
        <v>2110.2</v>
      </c>
      <c r="H36" s="8">
        <f t="shared" si="7"/>
        <v>9642.1</v>
      </c>
    </row>
    <row r="37" spans="1:9">
      <c r="A37" s="6" t="s">
        <v>99</v>
      </c>
      <c r="B37" s="8">
        <f>1610.95</f>
        <v>1610.95</v>
      </c>
      <c r="C37" s="8">
        <f>1832.52</f>
        <v>1832.52</v>
      </c>
      <c r="D37" s="8">
        <f>1137.5</f>
        <v>1137.5</v>
      </c>
      <c r="E37" s="8">
        <f>1482.5</f>
        <v>1482.5</v>
      </c>
      <c r="F37" s="8">
        <f>2430.24</f>
        <v>2430.24</v>
      </c>
      <c r="G37" s="22">
        <f>2766.1</f>
        <v>2766.1</v>
      </c>
      <c r="H37" s="8">
        <f t="shared" si="7"/>
        <v>11259.81</v>
      </c>
    </row>
    <row r="38" spans="1:9">
      <c r="A38" s="6" t="s">
        <v>100</v>
      </c>
      <c r="B38" s="8">
        <f>1025.01</f>
        <v>1025.01</v>
      </c>
      <c r="C38" s="8">
        <f>644.98</f>
        <v>644.98</v>
      </c>
      <c r="D38" s="8">
        <f>4225.25</f>
        <v>4225.25</v>
      </c>
      <c r="E38" s="8">
        <f>516.66</f>
        <v>516.66</v>
      </c>
      <c r="F38" s="8">
        <f>856.64</f>
        <v>856.64</v>
      </c>
      <c r="G38" s="22">
        <f>1282.55</f>
        <v>1282.55</v>
      </c>
      <c r="H38" s="8">
        <f t="shared" si="7"/>
        <v>8551.09</v>
      </c>
    </row>
    <row r="39" spans="1:9">
      <c r="A39" s="6" t="s">
        <v>101</v>
      </c>
      <c r="B39" s="8">
        <f>55.6</f>
        <v>55.6</v>
      </c>
      <c r="C39" s="8">
        <f>111.2</f>
        <v>111.2</v>
      </c>
      <c r="D39" s="7"/>
      <c r="E39" s="7"/>
      <c r="F39" s="7"/>
      <c r="G39" s="22">
        <f>731.25</f>
        <v>731.25</v>
      </c>
      <c r="H39" s="8">
        <f t="shared" si="7"/>
        <v>898.05</v>
      </c>
    </row>
    <row r="40" spans="1:9">
      <c r="A40" s="6" t="s">
        <v>102</v>
      </c>
      <c r="B40" s="9">
        <f t="shared" ref="B40:G40" si="9">((((B35)+(B36))+(B37))+(B38))+(B39)</f>
        <v>3575.56</v>
      </c>
      <c r="C40" s="9">
        <f t="shared" si="9"/>
        <v>2747.7</v>
      </c>
      <c r="D40" s="9">
        <f t="shared" si="9"/>
        <v>8102.4</v>
      </c>
      <c r="E40" s="9">
        <f t="shared" si="9"/>
        <v>4465.91</v>
      </c>
      <c r="F40" s="9">
        <f t="shared" si="9"/>
        <v>4569.38</v>
      </c>
      <c r="G40" s="9">
        <f t="shared" si="9"/>
        <v>6890.1</v>
      </c>
      <c r="H40" s="9">
        <f t="shared" si="7"/>
        <v>30351.05</v>
      </c>
    </row>
    <row r="41" spans="1:9">
      <c r="A41" s="6" t="s">
        <v>103</v>
      </c>
      <c r="B41" s="7"/>
      <c r="C41" s="7"/>
      <c r="D41" s="7"/>
      <c r="E41" s="7"/>
      <c r="F41" s="7"/>
      <c r="G41" s="7"/>
      <c r="H41" s="8">
        <f t="shared" si="7"/>
        <v>0</v>
      </c>
    </row>
    <row r="42" spans="1:9">
      <c r="A42" s="6" t="s">
        <v>104</v>
      </c>
      <c r="B42" s="8">
        <f>2069</f>
        <v>2069</v>
      </c>
      <c r="C42" s="7"/>
      <c r="D42" s="8">
        <f>964.8</f>
        <v>964.8</v>
      </c>
      <c r="E42" s="8">
        <f>535.78</f>
        <v>535.78</v>
      </c>
      <c r="F42" s="8">
        <f>72.94</f>
        <v>72.94</v>
      </c>
      <c r="G42" s="22">
        <f>549</f>
        <v>549</v>
      </c>
      <c r="H42" s="8">
        <f t="shared" si="7"/>
        <v>4191.52</v>
      </c>
    </row>
    <row r="43" spans="1:9">
      <c r="A43" s="6" t="s">
        <v>105</v>
      </c>
      <c r="B43" s="8">
        <f>6142.66</f>
        <v>6142.66</v>
      </c>
      <c r="C43" s="8">
        <f>7.32</f>
        <v>7.32</v>
      </c>
      <c r="D43" s="8">
        <f>11095.03</f>
        <v>11095.03</v>
      </c>
      <c r="E43" s="8">
        <f>7906.77</f>
        <v>7906.77</v>
      </c>
      <c r="F43" s="8">
        <f>3343.32</f>
        <v>3343.32</v>
      </c>
      <c r="G43" s="8">
        <f>5832.29</f>
        <v>5832.29</v>
      </c>
      <c r="H43" s="8">
        <f t="shared" si="7"/>
        <v>34327.39</v>
      </c>
    </row>
    <row r="44" spans="1:9">
      <c r="A44" s="6" t="s">
        <v>106</v>
      </c>
      <c r="B44" s="7"/>
      <c r="C44" s="8">
        <f>503.6</f>
        <v>503.6</v>
      </c>
      <c r="D44" s="7"/>
      <c r="E44" s="8">
        <f>65</f>
        <v>65</v>
      </c>
      <c r="F44" s="8">
        <f>5867.5</f>
        <v>5867.5</v>
      </c>
      <c r="G44" s="22">
        <f>10902.28</f>
        <v>10902.28</v>
      </c>
      <c r="H44" s="8">
        <f t="shared" si="7"/>
        <v>17338.38</v>
      </c>
    </row>
    <row r="45" spans="1:9">
      <c r="A45" s="6" t="s">
        <v>107</v>
      </c>
      <c r="B45" s="9">
        <f t="shared" ref="B45:G45" si="10">(((B41)+(B42))+(B43))+(B44)</f>
        <v>8211.66</v>
      </c>
      <c r="C45" s="9">
        <f t="shared" si="10"/>
        <v>510.92</v>
      </c>
      <c r="D45" s="9">
        <f t="shared" si="10"/>
        <v>12059.83</v>
      </c>
      <c r="E45" s="9">
        <f t="shared" si="10"/>
        <v>8507.55</v>
      </c>
      <c r="F45" s="9">
        <f t="shared" si="10"/>
        <v>9283.76</v>
      </c>
      <c r="G45" s="9">
        <f t="shared" si="10"/>
        <v>17283.57</v>
      </c>
      <c r="H45" s="9">
        <f t="shared" si="7"/>
        <v>55857.29</v>
      </c>
    </row>
    <row r="46" spans="1:9">
      <c r="A46" s="6" t="s">
        <v>108</v>
      </c>
      <c r="B46" s="7"/>
      <c r="C46" s="7"/>
      <c r="D46" s="7"/>
      <c r="E46" s="7"/>
      <c r="F46" s="7"/>
      <c r="G46" s="7"/>
      <c r="H46" s="8">
        <f t="shared" si="7"/>
        <v>0</v>
      </c>
      <c r="I46" s="4"/>
    </row>
    <row r="47" spans="1:9">
      <c r="A47" s="6" t="s">
        <v>109</v>
      </c>
      <c r="B47" s="8">
        <f>708.62</f>
        <v>708.62</v>
      </c>
      <c r="C47" s="8">
        <f>547.64</f>
        <v>547.64</v>
      </c>
      <c r="D47" s="8">
        <f>265.92</f>
        <v>265.92</v>
      </c>
      <c r="E47" s="8">
        <f>841.26</f>
        <v>841.26</v>
      </c>
      <c r="F47" s="8">
        <f>1245.3</f>
        <v>1245.3</v>
      </c>
      <c r="G47" s="8">
        <f>779.52</f>
        <v>779.52</v>
      </c>
      <c r="H47" s="8">
        <f t="shared" si="7"/>
        <v>4388.26</v>
      </c>
    </row>
    <row r="48" spans="1:9">
      <c r="A48" s="6" t="s">
        <v>110</v>
      </c>
      <c r="B48" s="8">
        <f>174.61</f>
        <v>174.61</v>
      </c>
      <c r="C48" s="7"/>
      <c r="D48" s="7"/>
      <c r="E48" s="8">
        <f>469.24</f>
        <v>469.24</v>
      </c>
      <c r="F48" s="7"/>
      <c r="G48" s="7"/>
      <c r="H48" s="8">
        <f t="shared" si="7"/>
        <v>643.85</v>
      </c>
    </row>
    <row r="49" spans="1:9">
      <c r="A49" s="6" t="s">
        <v>111</v>
      </c>
      <c r="B49" s="8">
        <f>102.02</f>
        <v>102.02</v>
      </c>
      <c r="C49" s="8">
        <f>68.63</f>
        <v>68.63</v>
      </c>
      <c r="D49" s="8">
        <f>246.8</f>
        <v>246.8</v>
      </c>
      <c r="E49" s="8">
        <f>78.2</f>
        <v>78.2</v>
      </c>
      <c r="F49" s="7"/>
      <c r="G49" s="7"/>
      <c r="H49" s="8">
        <f t="shared" si="7"/>
        <v>495.65</v>
      </c>
    </row>
    <row r="50" spans="1:9">
      <c r="A50" s="6" t="s">
        <v>112</v>
      </c>
      <c r="B50" s="8">
        <f>1726.75</f>
        <v>1726.75</v>
      </c>
      <c r="C50" s="8">
        <f>1500.31</f>
        <v>1500.31</v>
      </c>
      <c r="D50" s="8">
        <f>1481.31</f>
        <v>1481.31</v>
      </c>
      <c r="E50" s="8">
        <f>1616.26</f>
        <v>1616.26</v>
      </c>
      <c r="F50" s="8">
        <f>2578.11</f>
        <v>2578.11</v>
      </c>
      <c r="G50" s="22">
        <f>3026.44</f>
        <v>3026.44</v>
      </c>
      <c r="H50" s="8">
        <f t="shared" si="7"/>
        <v>11929.18</v>
      </c>
    </row>
    <row r="51" spans="1:8">
      <c r="A51" s="6" t="s">
        <v>113</v>
      </c>
      <c r="B51" s="9">
        <f t="shared" ref="B51:G51" si="11">((((B46)+(B47))+(B48))+(B49))+(B50)</f>
        <v>2712</v>
      </c>
      <c r="C51" s="9">
        <f t="shared" si="11"/>
        <v>2116.58</v>
      </c>
      <c r="D51" s="9">
        <f t="shared" si="11"/>
        <v>1994.03</v>
      </c>
      <c r="E51" s="9">
        <f t="shared" si="11"/>
        <v>3004.96</v>
      </c>
      <c r="F51" s="9">
        <f t="shared" si="11"/>
        <v>3823.41</v>
      </c>
      <c r="G51" s="9">
        <f t="shared" si="11"/>
        <v>3805.96</v>
      </c>
      <c r="H51" s="9">
        <f t="shared" si="7"/>
        <v>17456.94</v>
      </c>
    </row>
    <row r="52" spans="1:8">
      <c r="A52" s="6" t="s">
        <v>114</v>
      </c>
      <c r="B52" s="7"/>
      <c r="C52" s="7"/>
      <c r="D52" s="7"/>
      <c r="E52" s="7"/>
      <c r="F52" s="7"/>
      <c r="G52" s="7"/>
      <c r="H52" s="8">
        <f t="shared" si="7"/>
        <v>0</v>
      </c>
    </row>
    <row r="53" spans="1:8">
      <c r="A53" s="6" t="s">
        <v>115</v>
      </c>
      <c r="B53" s="7"/>
      <c r="C53" s="8">
        <f>675.33</f>
        <v>675.33</v>
      </c>
      <c r="D53" s="7"/>
      <c r="E53" s="8">
        <f>40.63</f>
        <v>40.63</v>
      </c>
      <c r="F53" s="7"/>
      <c r="G53" s="22">
        <f>60.87</f>
        <v>60.87</v>
      </c>
      <c r="H53" s="8">
        <f t="shared" si="7"/>
        <v>776.83</v>
      </c>
    </row>
    <row r="54" spans="1:8">
      <c r="A54" s="6" t="s">
        <v>116</v>
      </c>
      <c r="B54" s="8">
        <f>2758.37</f>
        <v>2758.37</v>
      </c>
      <c r="C54" s="7"/>
      <c r="D54" s="8">
        <f>3158.36</f>
        <v>3158.36</v>
      </c>
      <c r="E54" s="7"/>
      <c r="F54" s="7"/>
      <c r="G54" s="22">
        <f>229.55</f>
        <v>229.55</v>
      </c>
      <c r="H54" s="8">
        <f t="shared" si="7"/>
        <v>6146.28</v>
      </c>
    </row>
    <row r="55" spans="1:8">
      <c r="A55" s="6" t="s">
        <v>117</v>
      </c>
      <c r="B55" s="7"/>
      <c r="C55" s="8">
        <f>2455.7</f>
        <v>2455.7</v>
      </c>
      <c r="D55" s="8">
        <f>2270.65</f>
        <v>2270.65</v>
      </c>
      <c r="E55" s="8">
        <f>27.6</f>
        <v>27.6</v>
      </c>
      <c r="F55" s="7"/>
      <c r="G55" s="23"/>
      <c r="H55" s="8">
        <f t="shared" si="7"/>
        <v>4753.95</v>
      </c>
    </row>
    <row r="56" spans="1:8">
      <c r="A56" s="6" t="s">
        <v>118</v>
      </c>
      <c r="B56" s="7"/>
      <c r="C56" s="8">
        <f>289.22</f>
        <v>289.22</v>
      </c>
      <c r="D56" s="7"/>
      <c r="E56" s="7"/>
      <c r="F56" s="7"/>
      <c r="G56" s="23"/>
      <c r="H56" s="8">
        <f t="shared" si="7"/>
        <v>289.22</v>
      </c>
    </row>
    <row r="57" spans="1:8">
      <c r="A57" s="6" t="s">
        <v>119</v>
      </c>
      <c r="B57" s="8">
        <f>70</f>
        <v>70</v>
      </c>
      <c r="C57" s="8">
        <f>176.37</f>
        <v>176.37</v>
      </c>
      <c r="D57" s="8">
        <f>160</f>
        <v>160</v>
      </c>
      <c r="E57" s="8"/>
      <c r="F57" s="8">
        <f>90</f>
        <v>90</v>
      </c>
      <c r="G57" s="24"/>
      <c r="H57" s="8">
        <f t="shared" si="7"/>
        <v>496.37</v>
      </c>
    </row>
    <row r="58" spans="1:8">
      <c r="A58" s="6" t="s">
        <v>207</v>
      </c>
      <c r="B58" s="8">
        <f>0</f>
        <v>0</v>
      </c>
      <c r="C58" s="8">
        <f>0</f>
        <v>0</v>
      </c>
      <c r="D58" s="8">
        <f>0</f>
        <v>0</v>
      </c>
      <c r="E58" s="8">
        <f>0</f>
        <v>0</v>
      </c>
      <c r="F58" s="8">
        <f>0</f>
        <v>0</v>
      </c>
      <c r="G58" s="24">
        <f>0</f>
        <v>0</v>
      </c>
      <c r="H58" s="8">
        <f t="shared" si="7"/>
        <v>0</v>
      </c>
    </row>
    <row r="59" spans="1:8">
      <c r="A59" s="6" t="s">
        <v>120</v>
      </c>
      <c r="B59" s="9">
        <f t="shared" ref="B59:G59" si="12">((((((B52)+(B53))+(B54))+(B55))+(B56))+(B57))+(B58)</f>
        <v>2828.37</v>
      </c>
      <c r="C59" s="9">
        <f t="shared" si="12"/>
        <v>3596.62</v>
      </c>
      <c r="D59" s="9">
        <f t="shared" si="12"/>
        <v>5589.01</v>
      </c>
      <c r="E59" s="9">
        <f t="shared" si="12"/>
        <v>68.23</v>
      </c>
      <c r="F59" s="9">
        <f t="shared" si="12"/>
        <v>90</v>
      </c>
      <c r="G59" s="9">
        <f t="shared" si="12"/>
        <v>290.42</v>
      </c>
      <c r="H59" s="9">
        <f t="shared" si="7"/>
        <v>12462.65</v>
      </c>
    </row>
    <row r="60" spans="1:8">
      <c r="A60" s="6" t="s">
        <v>121</v>
      </c>
      <c r="B60" s="7"/>
      <c r="C60" s="7"/>
      <c r="D60" s="7"/>
      <c r="E60" s="7"/>
      <c r="F60" s="7"/>
      <c r="G60" s="7"/>
      <c r="H60" s="8">
        <f t="shared" si="7"/>
        <v>0</v>
      </c>
    </row>
    <row r="61" spans="1:8">
      <c r="A61" s="6" t="s">
        <v>122</v>
      </c>
      <c r="B61" s="8">
        <f t="shared" ref="B61:G61" si="13">819.95</f>
        <v>819.95</v>
      </c>
      <c r="C61" s="8">
        <f t="shared" si="13"/>
        <v>819.95</v>
      </c>
      <c r="D61" s="8">
        <f t="shared" si="13"/>
        <v>819.95</v>
      </c>
      <c r="E61" s="8">
        <f t="shared" si="13"/>
        <v>819.95</v>
      </c>
      <c r="F61" s="8">
        <f t="shared" si="13"/>
        <v>819.95</v>
      </c>
      <c r="G61" s="8">
        <f t="shared" si="13"/>
        <v>819.95</v>
      </c>
      <c r="H61" s="8">
        <f t="shared" si="7"/>
        <v>4919.7</v>
      </c>
    </row>
    <row r="62" spans="1:8">
      <c r="A62" s="6" t="s">
        <v>123</v>
      </c>
      <c r="B62" s="8">
        <f>100</f>
        <v>100</v>
      </c>
      <c r="C62" s="8">
        <f>183.37</f>
        <v>183.37</v>
      </c>
      <c r="D62" s="8">
        <f>106.56</f>
        <v>106.56</v>
      </c>
      <c r="E62" s="8">
        <f>100</f>
        <v>100</v>
      </c>
      <c r="F62" s="8">
        <f>100</f>
        <v>100</v>
      </c>
      <c r="G62" s="22">
        <f>100</f>
        <v>100</v>
      </c>
      <c r="H62" s="8">
        <f t="shared" si="7"/>
        <v>689.93</v>
      </c>
    </row>
    <row r="63" spans="1:8">
      <c r="A63" s="6" t="s">
        <v>124</v>
      </c>
      <c r="B63" s="8">
        <f>229.96</f>
        <v>229.96</v>
      </c>
      <c r="C63" s="8">
        <f>506.59</f>
        <v>506.59</v>
      </c>
      <c r="D63" s="8">
        <f>864.11</f>
        <v>864.11</v>
      </c>
      <c r="E63" s="8">
        <f>49.96</f>
        <v>49.96</v>
      </c>
      <c r="F63" s="8">
        <f>49.96</f>
        <v>49.96</v>
      </c>
      <c r="G63" s="22">
        <f>49.96</f>
        <v>49.96</v>
      </c>
      <c r="H63" s="8">
        <f t="shared" si="7"/>
        <v>1750.54</v>
      </c>
    </row>
    <row r="64" spans="1:8">
      <c r="A64" s="6" t="s">
        <v>125</v>
      </c>
      <c r="B64" s="9">
        <f t="shared" ref="B64:G64" si="14">(((B60)+(B61))+(B62))+(B63)</f>
        <v>1149.91</v>
      </c>
      <c r="C64" s="9">
        <f t="shared" si="14"/>
        <v>1509.91</v>
      </c>
      <c r="D64" s="9">
        <f t="shared" si="14"/>
        <v>1790.62</v>
      </c>
      <c r="E64" s="9">
        <f t="shared" si="14"/>
        <v>969.91</v>
      </c>
      <c r="F64" s="9">
        <f t="shared" si="14"/>
        <v>969.91</v>
      </c>
      <c r="G64" s="9">
        <f t="shared" si="14"/>
        <v>969.91</v>
      </c>
      <c r="H64" s="9">
        <f t="shared" si="7"/>
        <v>7360.17</v>
      </c>
    </row>
    <row r="65" spans="1:8">
      <c r="A65" s="6" t="s">
        <v>126</v>
      </c>
      <c r="B65" s="7"/>
      <c r="C65" s="7"/>
      <c r="D65" s="7"/>
      <c r="E65" s="7"/>
      <c r="F65" s="7"/>
      <c r="G65" s="7"/>
      <c r="H65" s="8">
        <f t="shared" si="7"/>
        <v>0</v>
      </c>
    </row>
    <row r="66" spans="1:8">
      <c r="A66" s="6" t="s">
        <v>127</v>
      </c>
      <c r="B66" s="8">
        <f>1679.09</f>
        <v>1679.09</v>
      </c>
      <c r="C66" s="8">
        <f>1681.69</f>
        <v>1681.69</v>
      </c>
      <c r="D66" s="8">
        <f>1421.08</f>
        <v>1421.08</v>
      </c>
      <c r="E66" s="8">
        <f>1389.28</f>
        <v>1389.28</v>
      </c>
      <c r="F66" s="8">
        <f>1539.51</f>
        <v>1539.51</v>
      </c>
      <c r="G66" s="8">
        <f>1437.13</f>
        <v>1437.13</v>
      </c>
      <c r="H66" s="8">
        <f t="shared" si="7"/>
        <v>9147.78</v>
      </c>
    </row>
    <row r="67" spans="1:8">
      <c r="A67" s="6" t="s">
        <v>128</v>
      </c>
      <c r="B67" s="8">
        <f>68.55</f>
        <v>68.55</v>
      </c>
      <c r="C67" s="8">
        <f>84.87</f>
        <v>84.87</v>
      </c>
      <c r="D67" s="8">
        <f>59.53</f>
        <v>59.53</v>
      </c>
      <c r="E67" s="8">
        <f>76.93</f>
        <v>76.93</v>
      </c>
      <c r="F67" s="8">
        <f>92.14</f>
        <v>92.14</v>
      </c>
      <c r="G67" s="22">
        <f>93.28</f>
        <v>93.28</v>
      </c>
      <c r="H67" s="8">
        <f t="shared" si="7"/>
        <v>475.3</v>
      </c>
    </row>
    <row r="68" spans="1:8">
      <c r="A68" s="6" t="s">
        <v>129</v>
      </c>
      <c r="B68" s="8">
        <f>203.94</f>
        <v>203.94</v>
      </c>
      <c r="C68" s="8">
        <f>325.2</f>
        <v>325.2</v>
      </c>
      <c r="D68" s="8">
        <f>251.63</f>
        <v>251.63</v>
      </c>
      <c r="E68" s="8">
        <f>250.61</f>
        <v>250.61</v>
      </c>
      <c r="F68" s="8">
        <f>250.36</f>
        <v>250.36</v>
      </c>
      <c r="G68" s="8">
        <f>251.34</f>
        <v>251.34</v>
      </c>
      <c r="H68" s="8">
        <f t="shared" si="7"/>
        <v>1533.08</v>
      </c>
    </row>
    <row r="69" spans="1:8">
      <c r="A69" s="6" t="s">
        <v>130</v>
      </c>
      <c r="B69" s="8">
        <f>124.94</f>
        <v>124.94</v>
      </c>
      <c r="C69" s="8">
        <f>170.87</f>
        <v>170.87</v>
      </c>
      <c r="D69" s="8">
        <f>275.87</f>
        <v>275.87</v>
      </c>
      <c r="E69" s="8">
        <f>167.88</f>
        <v>167.88</v>
      </c>
      <c r="F69" s="8">
        <f>108.97</f>
        <v>108.97</v>
      </c>
      <c r="G69" s="22">
        <f>112.72</f>
        <v>112.72</v>
      </c>
      <c r="H69" s="8">
        <f t="shared" si="7"/>
        <v>961.25</v>
      </c>
    </row>
    <row r="70" spans="1:8">
      <c r="A70" s="6" t="s">
        <v>131</v>
      </c>
      <c r="B70" s="8">
        <f>49.11</f>
        <v>49.11</v>
      </c>
      <c r="C70" s="8">
        <f>43.65</f>
        <v>43.65</v>
      </c>
      <c r="D70" s="8">
        <f>49.11</f>
        <v>49.11</v>
      </c>
      <c r="E70" s="8">
        <f>92.11</f>
        <v>92.11</v>
      </c>
      <c r="F70" s="8">
        <f>81.3</f>
        <v>81.3</v>
      </c>
      <c r="G70" s="22">
        <f>156.94</f>
        <v>156.94</v>
      </c>
      <c r="H70" s="8">
        <f t="shared" si="7"/>
        <v>472.22</v>
      </c>
    </row>
    <row r="71" spans="1:8">
      <c r="A71" s="6" t="s">
        <v>132</v>
      </c>
      <c r="B71" s="9">
        <f t="shared" ref="B71:G71" si="15">(((((B65)+(B66))+(B67))+(B68))+(B69))+(B70)</f>
        <v>2125.63</v>
      </c>
      <c r="C71" s="9">
        <f t="shared" si="15"/>
        <v>2306.28</v>
      </c>
      <c r="D71" s="9">
        <f t="shared" si="15"/>
        <v>2057.22</v>
      </c>
      <c r="E71" s="9">
        <f t="shared" si="15"/>
        <v>1976.81</v>
      </c>
      <c r="F71" s="9">
        <f t="shared" si="15"/>
        <v>2072.28</v>
      </c>
      <c r="G71" s="9">
        <f t="shared" si="15"/>
        <v>2051.41</v>
      </c>
      <c r="H71" s="9">
        <f t="shared" si="7"/>
        <v>12589.63</v>
      </c>
    </row>
    <row r="72" spans="1:8">
      <c r="A72" s="6" t="s">
        <v>133</v>
      </c>
      <c r="B72" s="7"/>
      <c r="C72" s="7"/>
      <c r="D72" s="7"/>
      <c r="E72" s="7"/>
      <c r="F72" s="7"/>
      <c r="G72" s="7"/>
      <c r="H72" s="8">
        <f t="shared" si="7"/>
        <v>0</v>
      </c>
    </row>
    <row r="73" spans="1:8">
      <c r="A73" s="6" t="s">
        <v>134</v>
      </c>
      <c r="B73" s="8">
        <f>326.66</f>
        <v>326.66</v>
      </c>
      <c r="C73" s="8">
        <f>326.66</f>
        <v>326.66</v>
      </c>
      <c r="D73" s="8">
        <f>326.66</f>
        <v>326.66</v>
      </c>
      <c r="E73" s="8">
        <f>316.28</f>
        <v>316.28</v>
      </c>
      <c r="F73" s="8">
        <f>408.28</f>
        <v>408.28</v>
      </c>
      <c r="G73" s="22">
        <f>316.28</f>
        <v>316.28</v>
      </c>
      <c r="H73" s="8">
        <f t="shared" si="7"/>
        <v>2020.82</v>
      </c>
    </row>
    <row r="74" spans="1:8">
      <c r="A74" s="6" t="s">
        <v>135</v>
      </c>
      <c r="B74" s="8">
        <f>39.58</f>
        <v>39.58</v>
      </c>
      <c r="C74" s="8">
        <f>144.58</f>
        <v>144.58</v>
      </c>
      <c r="D74" s="8">
        <f>39.58</f>
        <v>39.58</v>
      </c>
      <c r="E74" s="8">
        <f>39.58</f>
        <v>39.58</v>
      </c>
      <c r="F74" s="8">
        <f>39.58</f>
        <v>39.58</v>
      </c>
      <c r="G74" s="22">
        <f>47.66</f>
        <v>47.66</v>
      </c>
      <c r="H74" s="8">
        <f t="shared" si="7"/>
        <v>350.56</v>
      </c>
    </row>
    <row r="75" spans="1:8">
      <c r="A75" s="6" t="s">
        <v>136</v>
      </c>
      <c r="B75" s="8">
        <f>227.09</f>
        <v>227.09</v>
      </c>
      <c r="C75" s="8">
        <f>227.09</f>
        <v>227.09</v>
      </c>
      <c r="D75" s="8">
        <f>227.09</f>
        <v>227.09</v>
      </c>
      <c r="E75" s="8">
        <f>227.09</f>
        <v>227.09</v>
      </c>
      <c r="F75" s="8">
        <f>227.09</f>
        <v>227.09</v>
      </c>
      <c r="G75" s="22">
        <f>310</f>
        <v>310</v>
      </c>
      <c r="H75" s="8">
        <f t="shared" si="7"/>
        <v>1445.45</v>
      </c>
    </row>
    <row r="76" spans="1:8">
      <c r="A76" s="6" t="s">
        <v>137</v>
      </c>
      <c r="B76" s="8">
        <f t="shared" ref="B76:G76" si="16">170.54</f>
        <v>170.54</v>
      </c>
      <c r="C76" s="8">
        <f t="shared" si="16"/>
        <v>170.54</v>
      </c>
      <c r="D76" s="8">
        <f t="shared" si="16"/>
        <v>170.54</v>
      </c>
      <c r="E76" s="8">
        <f t="shared" si="16"/>
        <v>170.54</v>
      </c>
      <c r="F76" s="8">
        <f t="shared" si="16"/>
        <v>170.54</v>
      </c>
      <c r="G76" s="8">
        <f t="shared" si="16"/>
        <v>170.54</v>
      </c>
      <c r="H76" s="8">
        <f t="shared" si="7"/>
        <v>1023.24</v>
      </c>
    </row>
    <row r="77" spans="1:8">
      <c r="A77" s="6" t="s">
        <v>138</v>
      </c>
      <c r="B77" s="8">
        <f t="shared" ref="B77:G77" si="17">175.25</f>
        <v>175.25</v>
      </c>
      <c r="C77" s="8">
        <f t="shared" si="17"/>
        <v>175.25</v>
      </c>
      <c r="D77" s="8">
        <f t="shared" si="17"/>
        <v>175.25</v>
      </c>
      <c r="E77" s="8">
        <f t="shared" si="17"/>
        <v>175.25</v>
      </c>
      <c r="F77" s="8">
        <f t="shared" si="17"/>
        <v>175.25</v>
      </c>
      <c r="G77" s="8">
        <f t="shared" si="17"/>
        <v>175.25</v>
      </c>
      <c r="H77" s="8">
        <f t="shared" si="7"/>
        <v>1051.5</v>
      </c>
    </row>
    <row r="78" spans="1:8">
      <c r="A78" s="6" t="s">
        <v>139</v>
      </c>
      <c r="B78" s="7"/>
      <c r="C78" s="8">
        <f>17086.86</f>
        <v>17086.86</v>
      </c>
      <c r="D78" s="8">
        <f>1898.54</f>
        <v>1898.54</v>
      </c>
      <c r="E78" s="8">
        <f>1898.54</f>
        <v>1898.54</v>
      </c>
      <c r="F78" s="8">
        <f>1898.54</f>
        <v>1898.54</v>
      </c>
      <c r="G78" s="22">
        <f>2149.43</f>
        <v>2149.43</v>
      </c>
      <c r="H78" s="8">
        <f t="shared" si="7"/>
        <v>24931.91</v>
      </c>
    </row>
    <row r="79" spans="1:8">
      <c r="A79" s="6" t="s">
        <v>140</v>
      </c>
      <c r="B79" s="8">
        <f>82</f>
        <v>82</v>
      </c>
      <c r="C79" s="8">
        <f>82</f>
        <v>82</v>
      </c>
      <c r="D79" s="8">
        <f>82</f>
        <v>82</v>
      </c>
      <c r="E79" s="8">
        <f>82</f>
        <v>82</v>
      </c>
      <c r="F79" s="8">
        <f>82</f>
        <v>82</v>
      </c>
      <c r="G79" s="8">
        <f>82</f>
        <v>82</v>
      </c>
      <c r="H79" s="8">
        <f t="shared" si="7"/>
        <v>492</v>
      </c>
    </row>
    <row r="80" spans="1:8">
      <c r="A80" s="6" t="s">
        <v>141</v>
      </c>
      <c r="B80" s="9">
        <f t="shared" ref="B80:G80" si="18">(((((((B72)+(B73))+(B74))+(B75))+(B76))+(B77))+(B78))+(B79)</f>
        <v>1021.12</v>
      </c>
      <c r="C80" s="9">
        <f t="shared" si="18"/>
        <v>18212.98</v>
      </c>
      <c r="D80" s="9">
        <f t="shared" si="18"/>
        <v>2919.66</v>
      </c>
      <c r="E80" s="9">
        <f t="shared" si="18"/>
        <v>2909.28</v>
      </c>
      <c r="F80" s="9">
        <f t="shared" si="18"/>
        <v>3001.28</v>
      </c>
      <c r="G80" s="9">
        <f t="shared" si="18"/>
        <v>3251.16</v>
      </c>
      <c r="H80" s="9">
        <f t="shared" si="7"/>
        <v>31315.48</v>
      </c>
    </row>
    <row r="81" spans="1:8">
      <c r="A81" s="6" t="s">
        <v>142</v>
      </c>
      <c r="B81" s="7"/>
      <c r="C81" s="7"/>
      <c r="D81" s="7"/>
      <c r="E81" s="7"/>
      <c r="F81" s="7"/>
      <c r="G81" s="7"/>
      <c r="H81" s="8">
        <f t="shared" si="7"/>
        <v>0</v>
      </c>
    </row>
    <row r="82" spans="1:8">
      <c r="A82" s="6" t="s">
        <v>143</v>
      </c>
      <c r="B82" s="8">
        <f>76.9</f>
        <v>76.9</v>
      </c>
      <c r="C82" s="8">
        <f>135.76</f>
        <v>135.76</v>
      </c>
      <c r="D82" s="8">
        <f>383.99</f>
        <v>383.99</v>
      </c>
      <c r="E82" s="8">
        <f>81.31</f>
        <v>81.31</v>
      </c>
      <c r="F82" s="8">
        <f>619.63</f>
        <v>619.63</v>
      </c>
      <c r="G82" s="22">
        <f>122.45</f>
        <v>122.45</v>
      </c>
      <c r="H82" s="8">
        <f t="shared" si="7"/>
        <v>1420.04</v>
      </c>
    </row>
    <row r="83" spans="1:9">
      <c r="A83" s="6" t="s">
        <v>144</v>
      </c>
      <c r="B83" s="9">
        <f t="shared" ref="B83:G83" si="19">(B81)+(B82)</f>
        <v>76.9</v>
      </c>
      <c r="C83" s="9">
        <f t="shared" si="19"/>
        <v>135.76</v>
      </c>
      <c r="D83" s="9">
        <f t="shared" si="19"/>
        <v>383.99</v>
      </c>
      <c r="E83" s="9">
        <f t="shared" si="19"/>
        <v>81.31</v>
      </c>
      <c r="F83" s="9">
        <f t="shared" si="19"/>
        <v>619.63</v>
      </c>
      <c r="G83" s="9">
        <f t="shared" si="19"/>
        <v>122.45</v>
      </c>
      <c r="H83" s="9">
        <f t="shared" si="7"/>
        <v>1420.04</v>
      </c>
    </row>
    <row r="84" spans="1:9">
      <c r="A84" s="6" t="s">
        <v>145</v>
      </c>
      <c r="B84" s="7"/>
      <c r="C84" s="7"/>
      <c r="D84" s="7"/>
      <c r="E84" s="7"/>
      <c r="F84" s="7"/>
      <c r="G84" s="7"/>
      <c r="H84" s="8">
        <f t="shared" si="7"/>
        <v>0</v>
      </c>
    </row>
    <row r="85" spans="1:9">
      <c r="A85" s="6" t="s">
        <v>146</v>
      </c>
      <c r="B85" s="8">
        <f>3758.99</f>
        <v>3758.99</v>
      </c>
      <c r="C85" s="8">
        <f>3717</f>
        <v>3717</v>
      </c>
      <c r="D85" s="8">
        <f>3740</f>
        <v>3740</v>
      </c>
      <c r="E85" s="8">
        <f>3873.75</f>
        <v>3873.75</v>
      </c>
      <c r="F85" s="8">
        <f>4004.75</f>
        <v>4004.75</v>
      </c>
      <c r="G85" s="22">
        <f>4533.5</f>
        <v>4533.5</v>
      </c>
      <c r="H85" s="8">
        <f t="shared" si="7"/>
        <v>23627.99</v>
      </c>
    </row>
    <row r="86" spans="1:9">
      <c r="A86" s="6" t="s">
        <v>147</v>
      </c>
      <c r="B86" s="8">
        <f>900</f>
        <v>900</v>
      </c>
      <c r="C86" s="7"/>
      <c r="D86" s="7"/>
      <c r="E86" s="7"/>
      <c r="F86" s="8">
        <f>4169.16</f>
        <v>4169.16</v>
      </c>
      <c r="G86" s="23"/>
      <c r="H86" s="8">
        <f t="shared" si="7"/>
        <v>5069.16</v>
      </c>
    </row>
    <row r="87" spans="1:9">
      <c r="A87" s="6" t="s">
        <v>148</v>
      </c>
      <c r="B87" s="8">
        <f>3071.25</f>
        <v>3071.25</v>
      </c>
      <c r="C87" s="8">
        <f>3592</f>
        <v>3592</v>
      </c>
      <c r="D87" s="8">
        <f>6925.96</f>
        <v>6925.96</v>
      </c>
      <c r="E87" s="8">
        <f>6289</f>
        <v>6289</v>
      </c>
      <c r="F87" s="8">
        <f>3089</f>
        <v>3089</v>
      </c>
      <c r="G87" s="22">
        <f>1386.67</f>
        <v>1386.67</v>
      </c>
      <c r="H87" s="8">
        <f t="shared" si="7"/>
        <v>24353.88</v>
      </c>
      <c r="I87" s="4" t="s">
        <v>184</v>
      </c>
    </row>
    <row r="88" spans="1:9">
      <c r="A88" s="6" t="s">
        <v>180</v>
      </c>
      <c r="B88" s="7"/>
      <c r="C88" s="7"/>
      <c r="D88" s="7"/>
      <c r="E88" s="7"/>
      <c r="F88" s="7"/>
      <c r="G88" s="10">
        <f>1338.58</f>
        <v>1338.58</v>
      </c>
      <c r="H88" s="8">
        <f t="shared" si="7"/>
        <v>1338.58</v>
      </c>
      <c r="I88" s="4" t="s">
        <v>185</v>
      </c>
    </row>
    <row r="89" spans="1:9">
      <c r="A89" s="6" t="s">
        <v>149</v>
      </c>
      <c r="B89" s="8">
        <f>512.08</f>
        <v>512.08</v>
      </c>
      <c r="C89" s="8">
        <f>950.79</f>
        <v>950.79</v>
      </c>
      <c r="D89" s="8">
        <f>1092.44</f>
        <v>1092.44</v>
      </c>
      <c r="E89" s="8">
        <f>1044.97</f>
        <v>1044.97</v>
      </c>
      <c r="F89" s="8">
        <f>3177.97</f>
        <v>3177.97</v>
      </c>
      <c r="G89" s="22">
        <f>2287.97</f>
        <v>2287.97</v>
      </c>
      <c r="H89" s="8">
        <f t="shared" si="7"/>
        <v>9066.22</v>
      </c>
    </row>
    <row r="90" spans="1:9">
      <c r="A90" s="6" t="s">
        <v>150</v>
      </c>
      <c r="B90" s="7"/>
      <c r="C90" s="8">
        <f>1850</f>
        <v>1850</v>
      </c>
      <c r="D90" s="8">
        <f>-467.5</f>
        <v>-467.5</v>
      </c>
      <c r="E90" s="7"/>
      <c r="F90" s="7"/>
      <c r="G90" s="23"/>
      <c r="H90" s="8">
        <f t="shared" ref="H90:H99" si="20">(((((B90)+(C90))+(D90))+(E90))+(F90))+(G90)</f>
        <v>1382.5</v>
      </c>
    </row>
    <row r="91" spans="1:9">
      <c r="A91" s="6" t="s">
        <v>151</v>
      </c>
      <c r="B91" s="9">
        <f t="shared" ref="B91:G91" si="21">((((((B84)+(B85))+(B86))+(B87))+(B88))+(B89))+(B90)</f>
        <v>8242.32</v>
      </c>
      <c r="C91" s="9">
        <f t="shared" si="21"/>
        <v>10109.79</v>
      </c>
      <c r="D91" s="9">
        <f t="shared" si="21"/>
        <v>11290.9</v>
      </c>
      <c r="E91" s="9">
        <f t="shared" si="21"/>
        <v>11207.72</v>
      </c>
      <c r="F91" s="9">
        <f t="shared" si="21"/>
        <v>14440.88</v>
      </c>
      <c r="G91" s="9">
        <f t="shared" si="21"/>
        <v>9546.72</v>
      </c>
      <c r="H91" s="9">
        <f t="shared" si="20"/>
        <v>64838.33</v>
      </c>
    </row>
    <row r="92" spans="1:9">
      <c r="A92" s="6" t="s">
        <v>152</v>
      </c>
      <c r="B92" s="7"/>
      <c r="C92" s="7"/>
      <c r="D92" s="7"/>
      <c r="E92" s="7"/>
      <c r="F92" s="7"/>
      <c r="G92" s="7"/>
      <c r="H92" s="8">
        <f t="shared" si="20"/>
        <v>0</v>
      </c>
    </row>
    <row r="93" spans="1:9">
      <c r="A93" s="6" t="s">
        <v>208</v>
      </c>
      <c r="B93" s="8">
        <f>0</f>
        <v>0</v>
      </c>
      <c r="C93" s="8">
        <f>0</f>
        <v>0</v>
      </c>
      <c r="D93" s="8">
        <f>0</f>
        <v>0</v>
      </c>
      <c r="E93" s="8">
        <f>0</f>
        <v>0</v>
      </c>
      <c r="F93" s="8">
        <f>0</f>
        <v>0</v>
      </c>
      <c r="G93" s="24">
        <f>0</f>
        <v>0</v>
      </c>
      <c r="H93" s="8">
        <f t="shared" si="20"/>
        <v>0</v>
      </c>
    </row>
    <row r="94" spans="1:9">
      <c r="A94" s="6" t="s">
        <v>153</v>
      </c>
      <c r="B94" s="8">
        <f>70.81</f>
        <v>70.81</v>
      </c>
      <c r="C94" s="8">
        <f>633.73</f>
        <v>633.73</v>
      </c>
      <c r="D94" s="8">
        <f>607.46</f>
        <v>607.46</v>
      </c>
      <c r="E94" s="8">
        <f>79.29</f>
        <v>79.29</v>
      </c>
      <c r="F94" s="8">
        <f>1204.12</f>
        <v>1204.12</v>
      </c>
      <c r="G94" s="22">
        <f>24.76</f>
        <v>24.76</v>
      </c>
      <c r="H94" s="8">
        <f t="shared" si="20"/>
        <v>2620.17</v>
      </c>
      <c r="I94" s="4"/>
    </row>
    <row r="95" spans="1:9">
      <c r="A95" s="6" t="s">
        <v>154</v>
      </c>
      <c r="B95" s="8">
        <f>406.48</f>
        <v>406.48</v>
      </c>
      <c r="C95" s="8">
        <f>386.53</f>
        <v>386.53</v>
      </c>
      <c r="D95" s="8">
        <f>386.53</f>
        <v>386.53</v>
      </c>
      <c r="E95" s="8">
        <f>886.53</f>
        <v>886.53</v>
      </c>
      <c r="F95" s="8">
        <f>1116.53</f>
        <v>1116.53</v>
      </c>
      <c r="G95" s="22">
        <f>679.45</f>
        <v>679.45</v>
      </c>
      <c r="H95" s="8">
        <f t="shared" si="20"/>
        <v>3862.05</v>
      </c>
    </row>
    <row r="96" spans="1:9">
      <c r="A96" s="6" t="s">
        <v>155</v>
      </c>
      <c r="B96" s="8">
        <f>63.65</f>
        <v>63.65</v>
      </c>
      <c r="C96" s="8">
        <f>30</f>
        <v>30</v>
      </c>
      <c r="D96" s="8">
        <f>30</f>
        <v>30</v>
      </c>
      <c r="E96" s="8">
        <f>280</f>
        <v>280</v>
      </c>
      <c r="F96" s="8">
        <f>30</f>
        <v>30</v>
      </c>
      <c r="G96" s="22">
        <f>30</f>
        <v>30</v>
      </c>
      <c r="H96" s="8">
        <f t="shared" si="20"/>
        <v>463.65</v>
      </c>
      <c r="I96" s="4"/>
    </row>
    <row r="97" spans="1:9">
      <c r="A97" s="6" t="s">
        <v>156</v>
      </c>
      <c r="B97" s="9">
        <f t="shared" ref="B97:G97" si="22">((((B92)+(B93))+(B94))+(B95))+(B96)</f>
        <v>540.94</v>
      </c>
      <c r="C97" s="9">
        <f t="shared" si="22"/>
        <v>1050.26</v>
      </c>
      <c r="D97" s="9">
        <f t="shared" si="22"/>
        <v>1023.99</v>
      </c>
      <c r="E97" s="9">
        <f t="shared" si="22"/>
        <v>1245.82</v>
      </c>
      <c r="F97" s="9">
        <f t="shared" si="22"/>
        <v>2350.65</v>
      </c>
      <c r="G97" s="9">
        <f t="shared" si="22"/>
        <v>734.21</v>
      </c>
      <c r="H97" s="9">
        <f t="shared" si="20"/>
        <v>6945.87</v>
      </c>
    </row>
    <row r="98" spans="1:9">
      <c r="A98" s="6" t="s">
        <v>157</v>
      </c>
      <c r="B98" s="9">
        <f t="shared" ref="B98:G98" si="23">((((((((((B34)+(B40))+(B45))+(B51))+(B59))+(B64))+(B71))+(B80))+(B83))+(B91))+(B97)</f>
        <v>62743.4</v>
      </c>
      <c r="C98" s="9">
        <f t="shared" si="23"/>
        <v>76135.33</v>
      </c>
      <c r="D98" s="9">
        <f t="shared" si="23"/>
        <v>81170.95</v>
      </c>
      <c r="E98" s="9">
        <f t="shared" si="23"/>
        <v>63637.81</v>
      </c>
      <c r="F98" s="9">
        <f t="shared" si="23"/>
        <v>96183.07</v>
      </c>
      <c r="G98" s="9">
        <f t="shared" si="23"/>
        <v>89310.14</v>
      </c>
      <c r="H98" s="9">
        <f t="shared" si="20"/>
        <v>469180.7</v>
      </c>
    </row>
    <row r="99" spans="1:9">
      <c r="A99" s="6" t="s">
        <v>158</v>
      </c>
      <c r="B99" s="9">
        <f t="shared" ref="B99:G99" si="24">(B24)-(B98)</f>
        <v>1114.37</v>
      </c>
      <c r="C99" s="9">
        <f t="shared" si="24"/>
        <v>17537.87</v>
      </c>
      <c r="D99" s="9">
        <f t="shared" si="24"/>
        <v>53919.21</v>
      </c>
      <c r="E99" s="9">
        <f t="shared" si="24"/>
        <v>-22982.5</v>
      </c>
      <c r="F99" s="9">
        <f t="shared" si="24"/>
        <v>-27197.28</v>
      </c>
      <c r="G99" s="9">
        <f t="shared" si="24"/>
        <v>-4062.28999999999</v>
      </c>
      <c r="H99" s="9">
        <f t="shared" si="20"/>
        <v>18329.38</v>
      </c>
    </row>
    <row r="100" spans="1:9">
      <c r="A100" s="6" t="s">
        <v>159</v>
      </c>
      <c r="B100" s="7"/>
      <c r="C100" s="7"/>
      <c r="D100" s="7"/>
      <c r="E100" s="7"/>
      <c r="F100" s="7"/>
      <c r="G100" s="7"/>
      <c r="H100" s="7"/>
    </row>
    <row r="101" spans="1:9">
      <c r="A101" s="6" t="s">
        <v>160</v>
      </c>
      <c r="B101" s="7"/>
      <c r="C101" s="7"/>
      <c r="D101" s="7"/>
      <c r="E101" s="7"/>
      <c r="F101" s="7"/>
      <c r="G101" s="7"/>
      <c r="H101" s="8">
        <f>(((((B101)+(C101))+(D101))+(E101))+(F101))+(G101)</f>
        <v>0</v>
      </c>
    </row>
    <row r="102" spans="1:9">
      <c r="A102" s="6" t="s">
        <v>161</v>
      </c>
      <c r="B102" s="7"/>
      <c r="C102" s="8">
        <f>183.59</f>
        <v>183.59</v>
      </c>
      <c r="D102" s="8">
        <f>76.1</f>
        <v>76.1</v>
      </c>
      <c r="E102" s="8">
        <f>20.76</f>
        <v>20.76</v>
      </c>
      <c r="F102" s="8">
        <f>103.98</f>
        <v>103.98</v>
      </c>
      <c r="G102" s="23"/>
      <c r="H102" s="8">
        <f>(((((B102)+(C102))+(D102))+(E102))+(F102))+(G102)</f>
        <v>384.43</v>
      </c>
    </row>
    <row r="103" spans="1:9">
      <c r="A103" s="6" t="s">
        <v>162</v>
      </c>
      <c r="B103" s="8">
        <f>10.89</f>
        <v>10.89</v>
      </c>
      <c r="C103" s="8">
        <f>23.34</f>
        <v>23.34</v>
      </c>
      <c r="D103" s="8">
        <f>34.22</f>
        <v>34.22</v>
      </c>
      <c r="E103" s="8">
        <f>46.66</f>
        <v>46.66</v>
      </c>
      <c r="F103" s="8">
        <f>58.91</f>
        <v>58.91</v>
      </c>
      <c r="G103" s="22">
        <f>424.76</f>
        <v>424.76</v>
      </c>
      <c r="H103" s="8">
        <f>(((((B103)+(C103))+(D103))+(E103))+(F103))+(G103)</f>
        <v>598.78</v>
      </c>
      <c r="I103" s="4" t="s">
        <v>183</v>
      </c>
    </row>
    <row r="104" spans="1:9">
      <c r="A104" s="6" t="s">
        <v>163</v>
      </c>
      <c r="B104" s="9">
        <f t="shared" ref="B104:G104" si="25">((B101)+(B102))+(B103)</f>
        <v>10.89</v>
      </c>
      <c r="C104" s="9">
        <f t="shared" si="25"/>
        <v>206.93</v>
      </c>
      <c r="D104" s="9">
        <f t="shared" si="25"/>
        <v>110.32</v>
      </c>
      <c r="E104" s="9">
        <f t="shared" si="25"/>
        <v>67.42</v>
      </c>
      <c r="F104" s="9">
        <f t="shared" si="25"/>
        <v>162.89</v>
      </c>
      <c r="G104" s="9">
        <f t="shared" si="25"/>
        <v>424.76</v>
      </c>
      <c r="H104" s="9">
        <f>(((((B104)+(C104))+(D104))+(E104))+(F104))+(G104)</f>
        <v>983.21</v>
      </c>
    </row>
    <row r="105" spans="1:9">
      <c r="A105" s="6" t="s">
        <v>164</v>
      </c>
      <c r="B105" s="9">
        <f t="shared" ref="B105:G105" si="26">B104</f>
        <v>10.89</v>
      </c>
      <c r="C105" s="9">
        <f t="shared" si="26"/>
        <v>206.93</v>
      </c>
      <c r="D105" s="9">
        <f t="shared" si="26"/>
        <v>110.32</v>
      </c>
      <c r="E105" s="9">
        <f t="shared" si="26"/>
        <v>67.42</v>
      </c>
      <c r="F105" s="9">
        <f t="shared" si="26"/>
        <v>162.89</v>
      </c>
      <c r="G105" s="9">
        <f t="shared" si="26"/>
        <v>424.76</v>
      </c>
      <c r="H105" s="9">
        <f>(((((B105)+(C105))+(D105))+(E105))+(F105))+(G105)</f>
        <v>983.21</v>
      </c>
    </row>
    <row r="106" spans="1:9">
      <c r="A106" s="6" t="s">
        <v>165</v>
      </c>
      <c r="B106" s="7"/>
      <c r="C106" s="7"/>
      <c r="D106" s="7"/>
      <c r="E106" s="7"/>
      <c r="F106" s="7"/>
      <c r="G106" s="7"/>
      <c r="H106" s="7"/>
    </row>
    <row r="107" spans="1:9">
      <c r="A107" s="6" t="s">
        <v>166</v>
      </c>
      <c r="B107" s="7"/>
      <c r="C107" s="7"/>
      <c r="D107" s="7"/>
      <c r="E107" s="7"/>
      <c r="F107" s="7"/>
      <c r="G107" s="7"/>
      <c r="H107" s="8">
        <f t="shared" ref="H107:H113" si="27">(((((B107)+(C107))+(D107))+(E107))+(F107))+(G107)</f>
        <v>0</v>
      </c>
    </row>
    <row r="108" spans="1:9">
      <c r="A108" s="6" t="s">
        <v>167</v>
      </c>
      <c r="B108" s="8">
        <f>372.97</f>
        <v>372.97</v>
      </c>
      <c r="C108" s="8">
        <f>372.96</f>
        <v>372.96</v>
      </c>
      <c r="D108" s="8">
        <f>233.34</f>
        <v>233.34</v>
      </c>
      <c r="E108" s="8">
        <f>241.11</f>
        <v>241.11</v>
      </c>
      <c r="F108" s="8">
        <f>226.04</f>
        <v>226.04</v>
      </c>
      <c r="G108" s="22">
        <f>113.02</f>
        <v>113.02</v>
      </c>
      <c r="H108" s="8">
        <f t="shared" si="27"/>
        <v>1559.44</v>
      </c>
    </row>
    <row r="109" spans="1:9">
      <c r="A109" s="6" t="s">
        <v>168</v>
      </c>
      <c r="B109" s="9">
        <f t="shared" ref="B109:G109" si="28">(B107)+(B108)</f>
        <v>372.97</v>
      </c>
      <c r="C109" s="9">
        <f t="shared" si="28"/>
        <v>372.96</v>
      </c>
      <c r="D109" s="9">
        <f t="shared" si="28"/>
        <v>233.34</v>
      </c>
      <c r="E109" s="9">
        <f t="shared" si="28"/>
        <v>241.11</v>
      </c>
      <c r="F109" s="9">
        <f t="shared" si="28"/>
        <v>226.04</v>
      </c>
      <c r="G109" s="9">
        <f t="shared" si="28"/>
        <v>113.02</v>
      </c>
      <c r="H109" s="9">
        <f t="shared" si="27"/>
        <v>1559.44</v>
      </c>
    </row>
    <row r="110" spans="1:9">
      <c r="A110" s="6" t="s">
        <v>209</v>
      </c>
      <c r="B110" s="7"/>
      <c r="C110" s="7"/>
      <c r="D110" s="7"/>
      <c r="E110" s="7"/>
      <c r="F110" s="8">
        <f>0</f>
        <v>0</v>
      </c>
      <c r="G110" s="24">
        <f>0</f>
        <v>0</v>
      </c>
      <c r="H110" s="8">
        <f t="shared" si="27"/>
        <v>0</v>
      </c>
    </row>
    <row r="111" spans="1:9">
      <c r="A111" s="6" t="s">
        <v>169</v>
      </c>
      <c r="B111" s="9">
        <f t="shared" ref="B111:G111" si="29">(B109)+(B110)</f>
        <v>372.97</v>
      </c>
      <c r="C111" s="9">
        <f t="shared" si="29"/>
        <v>372.96</v>
      </c>
      <c r="D111" s="9">
        <f t="shared" si="29"/>
        <v>233.34</v>
      </c>
      <c r="E111" s="9">
        <f t="shared" si="29"/>
        <v>241.11</v>
      </c>
      <c r="F111" s="9">
        <f t="shared" si="29"/>
        <v>226.04</v>
      </c>
      <c r="G111" s="9">
        <f t="shared" si="29"/>
        <v>113.02</v>
      </c>
      <c r="H111" s="9">
        <f t="shared" si="27"/>
        <v>1559.44</v>
      </c>
    </row>
    <row r="112" spans="1:9">
      <c r="A112" s="6" t="s">
        <v>170</v>
      </c>
      <c r="B112" s="9">
        <f t="shared" ref="B112:G112" si="30">(B105)-(B111)</f>
        <v>-362.08</v>
      </c>
      <c r="C112" s="9">
        <f t="shared" si="30"/>
        <v>-166.03</v>
      </c>
      <c r="D112" s="9">
        <f t="shared" si="30"/>
        <v>-123.02</v>
      </c>
      <c r="E112" s="9">
        <f t="shared" si="30"/>
        <v>-173.69</v>
      </c>
      <c r="F112" s="9">
        <f t="shared" si="30"/>
        <v>-63.15</v>
      </c>
      <c r="G112" s="9">
        <f t="shared" si="30"/>
        <v>311.74</v>
      </c>
      <c r="H112" s="9">
        <f t="shared" si="27"/>
        <v>-576.23</v>
      </c>
    </row>
    <row r="113" spans="1:9">
      <c r="A113" s="6" t="s">
        <v>171</v>
      </c>
      <c r="B113" s="9">
        <f t="shared" ref="B113:G113" si="31">(B99)+(B112)</f>
        <v>752.290000000003</v>
      </c>
      <c r="C113" s="9">
        <f t="shared" si="31"/>
        <v>17371.84</v>
      </c>
      <c r="D113" s="9">
        <f t="shared" si="31"/>
        <v>53796.19</v>
      </c>
      <c r="E113" s="9">
        <f t="shared" si="31"/>
        <v>-23156.19</v>
      </c>
      <c r="F113" s="9">
        <f t="shared" si="31"/>
        <v>-27260.43</v>
      </c>
      <c r="G113" s="9">
        <f t="shared" si="31"/>
        <v>-3750.54999999999</v>
      </c>
      <c r="H113" s="9">
        <f t="shared" si="27"/>
        <v>17753.15</v>
      </c>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Ricklyr Mae Almario</cp:lastModifiedBy>
  <dcterms:created xsi:type="dcterms:W3CDTF">2026-01-30T06:42:37Z</dcterms:created>
  <dcterms:modified xsi:type="dcterms:W3CDTF">2026-02-20T09:15:01Z</dcterms:modified>
</cp:coreProperties>
</file>